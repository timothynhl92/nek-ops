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Claude Cowork\NEK\registers\"/>
    </mc:Choice>
  </mc:AlternateContent>
  <xr:revisionPtr revIDLastSave="0" documentId="13_ncr:1_{ACDE81F4-6544-4301-8EA2-37F46EE754FA}" xr6:coauthVersionLast="47" xr6:coauthVersionMax="47" xr10:uidLastSave="{00000000-0000-0000-0000-000000000000}"/>
  <bookViews>
    <workbookView xWindow="-110" yWindow="-110" windowWidth="19420" windowHeight="11500" tabRatio="500" firstSheet="3" activeTab="4" xr2:uid="{00000000-000D-0000-FFFF-FFFF00000000}"/>
  </bookViews>
  <sheets>
    <sheet name="00 README" sheetId="1" r:id="rId1"/>
    <sheet name="01 Entity" sheetId="2" r:id="rId2"/>
    <sheet name="02 Property &amp; Lease" sheetId="3" r:id="rId3"/>
    <sheet name="03 Employee" sheetId="4" r:id="rId4"/>
    <sheet name="04 Recurring Payments" sheetId="5" r:id="rId5"/>
    <sheet name="05 Vendor" sheetId="6" r:id="rId6"/>
    <sheet name="06 Compliance Calendar" sheetId="7" r:id="rId7"/>
    <sheet name="07 Naming Convention" sheetId="8" r:id="rId8"/>
    <sheet name="08 Code Lists" sheetId="9" r:id="rId9"/>
    <sheet name="09 Bank Account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21" i="6" l="1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P5" i="6"/>
  <c r="H65" i="5"/>
  <c r="H62" i="5"/>
  <c r="H31" i="5"/>
  <c r="H30" i="5"/>
  <c r="H19" i="5"/>
  <c r="H8" i="5"/>
  <c r="H7" i="5"/>
  <c r="H6" i="5"/>
  <c r="H5" i="5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O44" i="3"/>
  <c r="N44" i="3"/>
  <c r="O43" i="3"/>
  <c r="N43" i="3"/>
  <c r="O42" i="3"/>
  <c r="N42" i="3"/>
  <c r="O41" i="3"/>
  <c r="N41" i="3"/>
  <c r="O40" i="3"/>
  <c r="N40" i="3"/>
  <c r="O39" i="3"/>
  <c r="N39" i="3"/>
  <c r="O38" i="3"/>
  <c r="N38" i="3"/>
  <c r="O37" i="3"/>
  <c r="N37" i="3"/>
  <c r="O36" i="3"/>
  <c r="N36" i="3"/>
  <c r="O35" i="3"/>
  <c r="N35" i="3"/>
  <c r="O34" i="3"/>
  <c r="N34" i="3"/>
  <c r="O33" i="3"/>
  <c r="N33" i="3"/>
  <c r="O32" i="3"/>
  <c r="N32" i="3"/>
  <c r="O31" i="3"/>
  <c r="N31" i="3"/>
  <c r="O30" i="3"/>
  <c r="N30" i="3"/>
  <c r="O29" i="3"/>
  <c r="N29" i="3"/>
  <c r="O28" i="3"/>
  <c r="N28" i="3"/>
  <c r="O27" i="3"/>
  <c r="N27" i="3"/>
  <c r="O26" i="3"/>
  <c r="N26" i="3"/>
  <c r="O25" i="3"/>
  <c r="N25" i="3"/>
  <c r="O24" i="3"/>
  <c r="N24" i="3"/>
  <c r="O23" i="3"/>
  <c r="N23" i="3"/>
  <c r="O22" i="3"/>
  <c r="N22" i="3"/>
  <c r="O21" i="3"/>
  <c r="N21" i="3"/>
  <c r="O20" i="3"/>
  <c r="N20" i="3"/>
  <c r="O19" i="3"/>
  <c r="N19" i="3"/>
  <c r="O18" i="3"/>
  <c r="N18" i="3"/>
  <c r="O17" i="3"/>
  <c r="N17" i="3"/>
  <c r="O16" i="3"/>
  <c r="N16" i="3"/>
  <c r="O15" i="3"/>
  <c r="N15" i="3"/>
  <c r="O14" i="3"/>
  <c r="N14" i="3"/>
  <c r="O13" i="3"/>
  <c r="N13" i="3"/>
  <c r="O12" i="3"/>
  <c r="N12" i="3"/>
  <c r="O11" i="3"/>
  <c r="N11" i="3"/>
  <c r="O10" i="3"/>
  <c r="N10" i="3"/>
  <c r="O9" i="3"/>
  <c r="N9" i="3"/>
  <c r="O8" i="3"/>
  <c r="N8" i="3"/>
  <c r="O7" i="3"/>
  <c r="N7" i="3"/>
  <c r="O6" i="3"/>
  <c r="N6" i="3"/>
  <c r="O5" i="3"/>
  <c r="N5" i="3"/>
  <c r="K65" i="7"/>
  <c r="J65" i="7"/>
  <c r="K64" i="7"/>
  <c r="J64" i="7"/>
  <c r="K63" i="7"/>
  <c r="J63" i="7"/>
  <c r="K62" i="7"/>
  <c r="J62" i="7"/>
  <c r="K61" i="7"/>
  <c r="J61" i="7"/>
  <c r="K60" i="7"/>
  <c r="J60" i="7"/>
  <c r="K59" i="7"/>
  <c r="J59" i="7"/>
  <c r="K58" i="7"/>
  <c r="J58" i="7"/>
  <c r="K57" i="7"/>
  <c r="J57" i="7"/>
  <c r="K56" i="7"/>
  <c r="J56" i="7"/>
  <c r="K55" i="7"/>
  <c r="J55" i="7"/>
  <c r="K54" i="7"/>
  <c r="J54" i="7"/>
  <c r="K53" i="7"/>
  <c r="J53" i="7"/>
  <c r="K52" i="7"/>
  <c r="J52" i="7"/>
  <c r="K51" i="7"/>
  <c r="J51" i="7"/>
  <c r="K50" i="7"/>
  <c r="J50" i="7"/>
  <c r="K49" i="7"/>
  <c r="J49" i="7"/>
  <c r="K48" i="7"/>
  <c r="J48" i="7"/>
  <c r="K47" i="7"/>
  <c r="J47" i="7"/>
  <c r="J46" i="7"/>
  <c r="J45" i="7"/>
  <c r="J44" i="7"/>
  <c r="K43" i="7"/>
  <c r="J43" i="7"/>
  <c r="K42" i="7"/>
  <c r="J42" i="7"/>
  <c r="K41" i="7"/>
  <c r="J41" i="7"/>
  <c r="K40" i="7"/>
  <c r="J40" i="7"/>
  <c r="K39" i="7"/>
  <c r="J39" i="7"/>
  <c r="K38" i="7"/>
  <c r="J38" i="7"/>
  <c r="K37" i="7"/>
  <c r="J37" i="7"/>
  <c r="J36" i="7"/>
  <c r="J35" i="7"/>
  <c r="K34" i="7"/>
  <c r="J34" i="7"/>
  <c r="K33" i="7"/>
  <c r="J33" i="7"/>
  <c r="J32" i="7"/>
  <c r="J31" i="7"/>
  <c r="K30" i="7"/>
  <c r="J30" i="7"/>
  <c r="K29" i="7"/>
  <c r="J29" i="7"/>
  <c r="J28" i="7"/>
  <c r="J27" i="7"/>
  <c r="K26" i="7"/>
  <c r="J26" i="7"/>
  <c r="K25" i="7"/>
  <c r="J25" i="7"/>
  <c r="J24" i="7"/>
  <c r="J23" i="7"/>
  <c r="K22" i="7"/>
  <c r="J22" i="7"/>
  <c r="K21" i="7"/>
  <c r="J21" i="7"/>
  <c r="J20" i="7"/>
  <c r="J19" i="7"/>
  <c r="K18" i="7"/>
  <c r="J18" i="7"/>
  <c r="K17" i="7"/>
  <c r="J17" i="7"/>
  <c r="J16" i="7"/>
  <c r="J15" i="7"/>
  <c r="J14" i="7"/>
  <c r="J13" i="7"/>
  <c r="J12" i="7"/>
  <c r="J11" i="7"/>
  <c r="K10" i="7"/>
  <c r="J10" i="7"/>
  <c r="K9" i="7"/>
  <c r="J9" i="7"/>
  <c r="K8" i="7"/>
  <c r="J8" i="7"/>
  <c r="K7" i="7"/>
  <c r="J7" i="7"/>
  <c r="K6" i="7"/>
  <c r="J6" i="7"/>
  <c r="K5" i="7"/>
  <c r="J5" i="7"/>
</calcChain>
</file>

<file path=xl/sharedStrings.xml><?xml version="1.0" encoding="utf-8"?>
<sst xmlns="http://schemas.openxmlformats.org/spreadsheetml/2006/main" count="2227" uniqueCount="707">
  <si>
    <t>NEK GROUP — MASTER REGISTER WORKBOOK</t>
  </si>
  <si>
    <t>Phase 0 foundation. Built 2026-07-20. Owner: [assign one named person]</t>
  </si>
  <si>
    <t>WHAT THIS IS</t>
  </si>
  <si>
    <t>This workbook is the reference data layer for NEK Group's administration. It is NOT an accounting system.</t>
  </si>
  <si>
    <t>Your accounting software remains the system of record for all financial transactions.</t>
  </si>
  <si>
    <t>This workbook holds the reference data that is currently scattered across people's memory, email and folders:</t>
  </si>
  <si>
    <t>which entity owns what, which lease expires when, who gets paid on which day, which deadline falls next.</t>
  </si>
  <si>
    <t>Every later automation reads from this workbook. If it is not maintained, nothing downstream works.</t>
  </si>
  <si>
    <t>COLOUR LEGEND</t>
  </si>
  <si>
    <t>Yellow cell</t>
  </si>
  <si>
    <t>You fill this in. These are the input cells.</t>
  </si>
  <si>
    <t>Grey cell</t>
  </si>
  <si>
    <t>Contains a formula. Do not type over it.</t>
  </si>
  <si>
    <t>Grey italic row</t>
  </si>
  <si>
    <t>Worked example showing the expected format. DELETE these rows before real use.</t>
  </si>
  <si>
    <t>Dark blue header</t>
  </si>
  <si>
    <t>Column headings. Do not rename — later automation matches on these exact names.</t>
  </si>
  <si>
    <t>THE SEVEN REGISTERS</t>
  </si>
  <si>
    <t>01 Entity</t>
  </si>
  <si>
    <t>Every incorporated company in the group. Everything else references this by Entity Code.</t>
  </si>
  <si>
    <t>02 Property &amp; Lease</t>
  </si>
  <si>
    <t>Every property owned or leased, and every tenancy. Drives renewal alerts.</t>
  </si>
  <si>
    <t>03 Employee</t>
  </si>
  <si>
    <t>Employment reference data. Deliberately excludes IC/passport numbers and bank details.</t>
  </si>
  <si>
    <t>04 Recurring Payments</t>
  </si>
  <si>
    <t>Every payment that repeats. This becomes the monthly closing checklist.</t>
  </si>
  <si>
    <t>05 Vendor</t>
  </si>
  <si>
    <t>Suppliers. The bank-detail verification columns are a fraud control — read the note there.</t>
  </si>
  <si>
    <t>06 Compliance Calendar</t>
  </si>
  <si>
    <t>Statutory, audit and tax deadlines per entity. YOU must populate the dates.</t>
  </si>
  <si>
    <t>07 Naming Convention</t>
  </si>
  <si>
    <t>The file naming standard and folder structure. Reference sheet, not a register.</t>
  </si>
  <si>
    <t>08 Code Lists</t>
  </si>
  <si>
    <t>Controlled vocabularies: document type codes, entity codes, status values.</t>
  </si>
  <si>
    <t>RULES FOR MAINTAINING THIS FILE</t>
  </si>
  <si>
    <t>1. One named owner. Registers with shared ownership decay within three months.</t>
  </si>
  <si>
    <t>2. Dates are always ISO format: YYYY-MM-DD. Never 08/07/26 — it is ambiguous between MY and HK usage.</t>
  </si>
  <si>
    <t>3. Never merge cells inside a register. Never insert a blank row inside a table. Both break automated reading.</t>
  </si>
  <si>
    <t>4. Never rename a column heading. Add new columns at the right-hand end instead.</t>
  </si>
  <si>
    <t>5. Currency is stated per row. Do not mix MYR and HKD in a single column without the currency column filled.</t>
  </si>
  <si>
    <t>6. Update on the day the underlying fact changes, not at month end. A stale register is worse than none.</t>
  </si>
  <si>
    <t>7. Review the whole workbook once a quarter against source documents.</t>
  </si>
  <si>
    <t>DATA PROTECTION NOTE</t>
  </si>
  <si>
    <t>This workbook intentionally excludes: IC/passport numbers, bank account numbers, salary bank details,</t>
  </si>
  <si>
    <t>tenant identity documents, and medical information. Those stay in your HR and accounting systems.</t>
  </si>
  <si>
    <t>Keeping them out means this file can be shared, backed up and processed with far fewer restrictions.</t>
  </si>
  <si>
    <t>Confirm your obligations under Malaysia's PDPA and Hong Kong's PDPO with your legal adviser before</t>
  </si>
  <si>
    <t>routing any personal data through third-party tools, including AI tools.</t>
  </si>
  <si>
    <t>ENTITY REGISTER — every incorporated company in the group</t>
  </si>
  <si>
    <t>Entity Code is the master key. Every other register refers back to it. Choose short codes and never change them.</t>
  </si>
  <si>
    <t>Entity Code</t>
  </si>
  <si>
    <t>Legal Name</t>
  </si>
  <si>
    <t>Jurisdiction</t>
  </si>
  <si>
    <t>Registration No.</t>
  </si>
  <si>
    <t>Incorporation Date</t>
  </si>
  <si>
    <t>Financial Year End</t>
  </si>
  <si>
    <t>Functional Currency</t>
  </si>
  <si>
    <t>Directors (names)</t>
  </si>
  <si>
    <t>Company Secretary</t>
  </si>
  <si>
    <t>Registered Address</t>
  </si>
  <si>
    <t>Tax Agent</t>
  </si>
  <si>
    <t>Auditor</t>
  </si>
  <si>
    <t>Status</t>
  </si>
  <si>
    <t>Notes</t>
  </si>
  <si>
    <t>Tel</t>
  </si>
  <si>
    <t>Email</t>
  </si>
  <si>
    <t>NEK</t>
  </si>
  <si>
    <t>Ng Eng Kee &amp; Sons Sdn Bhd</t>
  </si>
  <si>
    <t>Malaysia</t>
  </si>
  <si>
    <t>198401003022 (115540-H)</t>
  </si>
  <si>
    <t>31 December</t>
  </si>
  <si>
    <t>MYR</t>
  </si>
  <si>
    <t>Ng Chong Lam, Ng Hsien Ming, Timothy Ng Hsien Liang, Yap Kim Yang</t>
  </si>
  <si>
    <t>Exceliz Management Sdn Bhd</t>
  </si>
  <si>
    <t>51-10-E, Menara BHL, Jalan Sultan Ahmad Shah, 10050 Georgetown, Penang, Malaysia</t>
  </si>
  <si>
    <t>KCK Consultancy Services Sdn Bhd</t>
  </si>
  <si>
    <t>KCK &amp; Associates PLT</t>
  </si>
  <si>
    <t>Active</t>
  </si>
  <si>
    <t>012-4820853</t>
  </si>
  <si>
    <t>nekgroup84@gmail.com</t>
  </si>
  <si>
    <t>NEKGV</t>
  </si>
  <si>
    <t>NEK Global Venture Sdn Bhd</t>
  </si>
  <si>
    <t>201701005849 (1220014-K)</t>
  </si>
  <si>
    <t>Ng Chong Lam, Ng Hsien  Ming, Timothy Ng Hsien Liang</t>
  </si>
  <si>
    <t>MDL</t>
  </si>
  <si>
    <t>Marque De Luxe Sdn Bhd</t>
  </si>
  <si>
    <t>201801034932 (1296959-W)</t>
  </si>
  <si>
    <t>Ng Chong Lam, Ng Hsien Ming, Timothy Ng Hsien Liang, Khoo Seok Wah</t>
  </si>
  <si>
    <t>HHIL</t>
  </si>
  <si>
    <t>Honour Harvest International Limited</t>
  </si>
  <si>
    <t>Hong Kong</t>
  </si>
  <si>
    <t>202002000010 (995780-D)</t>
  </si>
  <si>
    <t>HKD</t>
  </si>
  <si>
    <t>Kaizen CPA Limited</t>
  </si>
  <si>
    <t>Kaizen CPA Limited (Hong Kong) and KCK &amp; Associates PLT (Malaysia)</t>
  </si>
  <si>
    <t>NGCS</t>
  </si>
  <si>
    <t>NGCS Capital Sdn Bhd</t>
  </si>
  <si>
    <t>202201029491 (1475188-H)</t>
  </si>
  <si>
    <t>Timothy Ng Hsien Liang</t>
  </si>
  <si>
    <t>NCLCAP</t>
  </si>
  <si>
    <t>NCL Capital Sdn Bhd</t>
  </si>
  <si>
    <t>202201030761 (1476458-K)</t>
  </si>
  <si>
    <t>Ng Chong Lam, Ng Hsien Ming, Chiang Sau Kuen</t>
  </si>
  <si>
    <t>SBOXCAP</t>
  </si>
  <si>
    <t>Sandbox Capital Sdn Bhd</t>
  </si>
  <si>
    <t>202101001994</t>
  </si>
  <si>
    <t>31 July</t>
  </si>
  <si>
    <t>Ooi Sin Ju, Saw Kylie, Priscella Tay, Timothy Ng Hsien Liang</t>
  </si>
  <si>
    <t>SBOXAI</t>
  </si>
  <si>
    <t>Sandbox AI Ventures Sdn Bhd</t>
  </si>
  <si>
    <t>202301011872 (1505794-W)</t>
  </si>
  <si>
    <t>Timothy Ng Hsien Liang, Saw Kylie</t>
  </si>
  <si>
    <t>NCL</t>
  </si>
  <si>
    <t>Ng Chong Lam</t>
  </si>
  <si>
    <t>N/A</t>
  </si>
  <si>
    <t>33, Denai Bayu 2, Jalan Seri Tanjung Pinang, 10470 Tanjung Tokong, Penang, Malaysia</t>
  </si>
  <si>
    <t>CSK</t>
  </si>
  <si>
    <t>Chiang Sau Kuen</t>
  </si>
  <si>
    <t>WT</t>
  </si>
  <si>
    <t>Wintrace Investment</t>
  </si>
  <si>
    <t>BVI</t>
  </si>
  <si>
    <t>USD</t>
  </si>
  <si>
    <t>PROPERTY &amp; LEASE REGISTER</t>
  </si>
  <si>
    <t>One row per lettable unit. If a unit is vacant, keep the row and set Tenancy Status to Vacant.</t>
  </si>
  <si>
    <t>Property Code</t>
  </si>
  <si>
    <t>Owning Entity</t>
  </si>
  <si>
    <t>Property Address</t>
  </si>
  <si>
    <t>Unit</t>
  </si>
  <si>
    <t>Type</t>
  </si>
  <si>
    <t>Tenant Name</t>
  </si>
  <si>
    <t>Tenancy Status</t>
  </si>
  <si>
    <t>Currency</t>
  </si>
  <si>
    <t>Monthly Rent</t>
  </si>
  <si>
    <t>Rental Deposit Held</t>
  </si>
  <si>
    <t>Utilities Deposit Held</t>
  </si>
  <si>
    <t>Lease Start</t>
  </si>
  <si>
    <t>Lease End</t>
  </si>
  <si>
    <t>Days to Expiry</t>
  </si>
  <si>
    <t>Renewal Alert</t>
  </si>
  <si>
    <t>Renewal Clause</t>
  </si>
  <si>
    <t>Rent Due Day</t>
  </si>
  <si>
    <t>Service/Maintenance Fee</t>
  </si>
  <si>
    <t>Quit Rent Due</t>
  </si>
  <si>
    <t>Assessment Due</t>
  </si>
  <si>
    <t>Insurance Policy No.</t>
  </si>
  <si>
    <t>Insurance Expiry</t>
  </si>
  <si>
    <t>Maintenance Contract</t>
  </si>
  <si>
    <t>1G-10-03-QS</t>
  </si>
  <si>
    <t>Andaman at Quayside, Jalan Seri Tanjung Pinang, 10470 Tanjung Tokong, Penang, Malaysia</t>
  </si>
  <si>
    <t>1G-10-03</t>
  </si>
  <si>
    <t>Condominium</t>
  </si>
  <si>
    <t>John Hyung Moon</t>
  </si>
  <si>
    <t>Occupied</t>
  </si>
  <si>
    <t>Max 10% increase on renewal</t>
  </si>
  <si>
    <t>1st of every month</t>
  </si>
  <si>
    <t>Anika Insurance</t>
  </si>
  <si>
    <t>Only for hidden internal defects and large appliances</t>
  </si>
  <si>
    <t>1G-11-03-QS</t>
  </si>
  <si>
    <t>1G-11-03</t>
  </si>
  <si>
    <t>Yan Zhou</t>
  </si>
  <si>
    <t>renewal at prevailing market rate</t>
  </si>
  <si>
    <t>1G-17-03-QS</t>
  </si>
  <si>
    <t>1G-17-03</t>
  </si>
  <si>
    <t>Henrique Jorge Simoes Alves</t>
  </si>
  <si>
    <t>1G-27-3A-QS</t>
  </si>
  <si>
    <t>1G-27-3A</t>
  </si>
  <si>
    <t>Kai Gunter Stohrer</t>
  </si>
  <si>
    <t>Next renewal capped to max RM 9000 per month</t>
  </si>
  <si>
    <t>Sha Tin Riverpark</t>
  </si>
  <si>
    <t>Chinese national</t>
  </si>
  <si>
    <t>None</t>
  </si>
  <si>
    <t>14th of every month</t>
  </si>
  <si>
    <t>-</t>
  </si>
  <si>
    <t>Bank of Communication</t>
  </si>
  <si>
    <t>Victoria</t>
  </si>
  <si>
    <t>Victoria Center</t>
  </si>
  <si>
    <t>Wong Tan and Lu Jingjing</t>
  </si>
  <si>
    <t>EMPLOYEE REGISTER</t>
  </si>
  <si>
    <t>Reference data only. Do NOT record IC/passport numbers, bank accounts or medical data here — keep those in your HR system.</t>
  </si>
  <si>
    <t>Employee Code</t>
  </si>
  <si>
    <t>Employing Entity</t>
  </si>
  <si>
    <t>Name</t>
  </si>
  <si>
    <t>Position</t>
  </si>
  <si>
    <t>Department</t>
  </si>
  <si>
    <t>Employment Type</t>
  </si>
  <si>
    <t>Join Date</t>
  </si>
  <si>
    <t>Probation End</t>
  </si>
  <si>
    <t>Probation Alert</t>
  </si>
  <si>
    <t>Contract End</t>
  </si>
  <si>
    <t>Basic Salary</t>
  </si>
  <si>
    <t>Fixed Allowance</t>
  </si>
  <si>
    <t>Statutory Scheme</t>
  </si>
  <si>
    <t>Next Salary Review</t>
  </si>
  <si>
    <t>Annual Leave Entitlement</t>
  </si>
  <si>
    <t>EMP-001</t>
  </si>
  <si>
    <t>Chairman</t>
  </si>
  <si>
    <t>Management</t>
  </si>
  <si>
    <t>Permanent</t>
  </si>
  <si>
    <t>EPF / SOCSO  / PCB</t>
  </si>
  <si>
    <t>16 days</t>
  </si>
  <si>
    <t>EMP-002</t>
  </si>
  <si>
    <t>Chief Investment Officer</t>
  </si>
  <si>
    <t>Investment</t>
  </si>
  <si>
    <t>EPF / SOCSO / EIS / PCB</t>
  </si>
  <si>
    <t>EMP-003</t>
  </si>
  <si>
    <t>Ng Hsien Ming</t>
  </si>
  <si>
    <t>Admin</t>
  </si>
  <si>
    <t>Adminstrative</t>
  </si>
  <si>
    <t>EMP-004</t>
  </si>
  <si>
    <t>Ong Hooi Yong</t>
  </si>
  <si>
    <t>Finance Executive</t>
  </si>
  <si>
    <t>Finance</t>
  </si>
  <si>
    <t>RECURRING PAYMENT CALENDAR</t>
  </si>
  <si>
    <t>Every payment that repeats, in or out. This sheet generates your monthly closing checklist. Direction = Payable or Receivable.</t>
  </si>
  <si>
    <t>Ref</t>
  </si>
  <si>
    <t>Entity</t>
  </si>
  <si>
    <t>Direction</t>
  </si>
  <si>
    <t>Category</t>
  </si>
  <si>
    <t>Counterparty</t>
  </si>
  <si>
    <t>Description</t>
  </si>
  <si>
    <t>Typical Amount</t>
  </si>
  <si>
    <t>Amount Type</t>
  </si>
  <si>
    <t>Frequency</t>
  </si>
  <si>
    <t>Due Day of the Month</t>
  </si>
  <si>
    <t>Payment Method</t>
  </si>
  <si>
    <t>Bank Account Used</t>
  </si>
  <si>
    <t>Approver</t>
  </si>
  <si>
    <t>Preparer</t>
  </si>
  <si>
    <t>Supporting Doc Required</t>
  </si>
  <si>
    <t>Active From</t>
  </si>
  <si>
    <t>Active To</t>
  </si>
  <si>
    <t>RP-NEK-001</t>
  </si>
  <si>
    <t>Payable</t>
  </si>
  <si>
    <t>Payroll</t>
  </si>
  <si>
    <t>Employees</t>
  </si>
  <si>
    <t>Monthly salary run</t>
  </si>
  <si>
    <t>Fixed</t>
  </si>
  <si>
    <t>Monthly</t>
  </si>
  <si>
    <t>Bank Transfer</t>
  </si>
  <si>
    <t>Bank of China (Malaysia)</t>
  </si>
  <si>
    <t>Directors</t>
  </si>
  <si>
    <t>Finance Exec</t>
  </si>
  <si>
    <t>RP-NEK-002</t>
  </si>
  <si>
    <t>Statutory</t>
  </si>
  <si>
    <t>KWSP (EPF)</t>
  </si>
  <si>
    <t>EPF employer + employee</t>
  </si>
  <si>
    <t>RP-NEK-003</t>
  </si>
  <si>
    <t>Perkeso (Sosco+EIS+Lindung)</t>
  </si>
  <si>
    <t>Perkeso (Employer and employee)</t>
  </si>
  <si>
    <t>RP-NEK-004</t>
  </si>
  <si>
    <t>LHDN</t>
  </si>
  <si>
    <t>Monthly Tax Deduction (PCB)</t>
  </si>
  <si>
    <t>RP-NEK-005</t>
  </si>
  <si>
    <t>Office Rental</t>
  </si>
  <si>
    <t>K Raja Suriya</t>
  </si>
  <si>
    <t>Menara BHL Office rental</t>
  </si>
  <si>
    <t>RP-NEK-006</t>
  </si>
  <si>
    <t>Annual Auditor Fees</t>
  </si>
  <si>
    <t>Annual</t>
  </si>
  <si>
    <t>RP-NEK-007</t>
  </si>
  <si>
    <t>Tax Fees</t>
  </si>
  <si>
    <t>Annual Tax Agent Fees</t>
  </si>
  <si>
    <t>RP-NEK-008</t>
  </si>
  <si>
    <t>Secretarial</t>
  </si>
  <si>
    <t>Quarterly payment</t>
  </si>
  <si>
    <t>Quarterly</t>
  </si>
  <si>
    <t>RP-NEK-009</t>
  </si>
  <si>
    <t>Annual Return Filing</t>
  </si>
  <si>
    <t>RP-HHIL-001</t>
  </si>
  <si>
    <t>Receivable</t>
  </si>
  <si>
    <t>Rental Income</t>
  </si>
  <si>
    <t>John Hyung Moon (1G-10-03)</t>
  </si>
  <si>
    <t>Apartment rental</t>
  </si>
  <si>
    <t>RP-HHIL-002</t>
  </si>
  <si>
    <t>Yan Zhou (1G-11-03)</t>
  </si>
  <si>
    <t>RP-HHIL-003</t>
  </si>
  <si>
    <t>Henrique Jorge Simoes Alves (1G-17-03)</t>
  </si>
  <si>
    <t>RP-HHIL-004</t>
  </si>
  <si>
    <t>Kai Gunter Stohrer (1G-27-3A)</t>
  </si>
  <si>
    <t>RP-HHIL-005</t>
  </si>
  <si>
    <t>Employee</t>
  </si>
  <si>
    <t>Bank transfer</t>
  </si>
  <si>
    <t>RP-HHIL-006</t>
  </si>
  <si>
    <t>RP-HHIL-007</t>
  </si>
  <si>
    <t>RP-HHIL-008</t>
  </si>
  <si>
    <t>RP-HHIL-009</t>
  </si>
  <si>
    <t>CP-204 Rental Income Tax Installment</t>
  </si>
  <si>
    <t>RP-HHIL-010</t>
  </si>
  <si>
    <t>KB Loh Sdn Bhd</t>
  </si>
  <si>
    <t>Office car park rental</t>
  </si>
  <si>
    <t>RP-HHIL-011</t>
  </si>
  <si>
    <t>Utilities</t>
  </si>
  <si>
    <t>Tenaga Nasional Berhad</t>
  </si>
  <si>
    <t>Office electricity</t>
  </si>
  <si>
    <t>Around 400</t>
  </si>
  <si>
    <t>RP-HHIL-012</t>
  </si>
  <si>
    <t>Apartment Maintenance Fees</t>
  </si>
  <si>
    <t>Quayside JMB</t>
  </si>
  <si>
    <t>Monthly maintenance fees (1G-10-03)</t>
  </si>
  <si>
    <t>RP-HHIL-013</t>
  </si>
  <si>
    <t>Monthly maintenance fees (1G-11-03)</t>
  </si>
  <si>
    <t>RP-HHIL-014</t>
  </si>
  <si>
    <t>Monthly maintenance fees (1G-12-03)</t>
  </si>
  <si>
    <t>RP-HHIL-015</t>
  </si>
  <si>
    <t>Monthly maintenance fees (1G-17-3)</t>
  </si>
  <si>
    <t>RP-HHIL-016</t>
  </si>
  <si>
    <t>Monthly maintenance fees (1G-27-3A)</t>
  </si>
  <si>
    <t>RP-HHIL-017</t>
  </si>
  <si>
    <t>Land Tax</t>
  </si>
  <si>
    <t>Penang Land Office</t>
  </si>
  <si>
    <t>Quit Rent (Cukai Petak) - All Quayside Units</t>
  </si>
  <si>
    <t>RP-HHIL-018</t>
  </si>
  <si>
    <t>MBPP</t>
  </si>
  <si>
    <t>Assessment (Cukai Taksiran)</t>
  </si>
  <si>
    <t>Semi-Annual</t>
  </si>
  <si>
    <t>February 28 and August 31</t>
  </si>
  <si>
    <t>RP-HHIL-019</t>
  </si>
  <si>
    <t>RP-HHIL-020</t>
  </si>
  <si>
    <t>RP-HHIL-021</t>
  </si>
  <si>
    <t>RP-HHIL-022</t>
  </si>
  <si>
    <t>RP-MDL-01</t>
  </si>
  <si>
    <t>TM Unifi</t>
  </si>
  <si>
    <t>Office internet</t>
  </si>
  <si>
    <t>United Overseas Bank</t>
  </si>
  <si>
    <t>RP-MDL-02</t>
  </si>
  <si>
    <t>Business License</t>
  </si>
  <si>
    <t>MBPP License Fees</t>
  </si>
  <si>
    <t>December 31</t>
  </si>
  <si>
    <t>RP-MDL-03</t>
  </si>
  <si>
    <t>RP-MDL-04</t>
  </si>
  <si>
    <t>RP-MDL-05</t>
  </si>
  <si>
    <t>RP-MDL-06</t>
  </si>
  <si>
    <t>RP-NEKGV-001</t>
  </si>
  <si>
    <t>RP-NEKGV-002</t>
  </si>
  <si>
    <t>RP-NEKGV-003</t>
  </si>
  <si>
    <t>RP-NEKGV-004</t>
  </si>
  <si>
    <t>RP-NGCS-001</t>
  </si>
  <si>
    <t>OCBC Bank</t>
  </si>
  <si>
    <t>RP-NGCS-002</t>
  </si>
  <si>
    <t>RP-NGCS-003</t>
  </si>
  <si>
    <t>RP-NGCS-004</t>
  </si>
  <si>
    <t>RP-NCLCAP-001</t>
  </si>
  <si>
    <t>RP-NCLCAP-002</t>
  </si>
  <si>
    <t>RP-NCLCAP-003</t>
  </si>
  <si>
    <t>RP-NCLCAP-004</t>
  </si>
  <si>
    <t>RP-SBOXCAP-001</t>
  </si>
  <si>
    <t>RP-SBOXCAP-002</t>
  </si>
  <si>
    <t>RP-SBOXCAP-003</t>
  </si>
  <si>
    <t>RP-SBOXCAP-004</t>
  </si>
  <si>
    <t>RP-SBOXAI-001</t>
  </si>
  <si>
    <t>RP-SBOXAI-002</t>
  </si>
  <si>
    <t>RP-SBOXAI-003</t>
  </si>
  <si>
    <t>RP-SBOXAI-004</t>
  </si>
  <si>
    <t>RP-NCL-001</t>
  </si>
  <si>
    <t>Management Fees</t>
  </si>
  <si>
    <t>Cavatina Co Limited</t>
  </si>
  <si>
    <t>Property Management Fees</t>
  </si>
  <si>
    <t>Bank of Communication (HK)</t>
  </si>
  <si>
    <t>RP-NCL-002</t>
  </si>
  <si>
    <t>Condo Maintenance Fees</t>
  </si>
  <si>
    <t>MTR Corporation Limited</t>
  </si>
  <si>
    <t>Maintenance Fees Condo - Sha Tin Riverpark</t>
  </si>
  <si>
    <t>RP-NCL-003</t>
  </si>
  <si>
    <t>Hong Yip Service Company</t>
  </si>
  <si>
    <t>Maintenance Fees Condo - Victoria Center</t>
  </si>
  <si>
    <t>RP-NCL-004</t>
  </si>
  <si>
    <t>Government Rates</t>
  </si>
  <si>
    <t>Rating and Valuation Department</t>
  </si>
  <si>
    <t>Annual Government Rates</t>
  </si>
  <si>
    <t>RP-NCL-005</t>
  </si>
  <si>
    <t>Sha Tin apartment rental</t>
  </si>
  <si>
    <t>RP-NCL-006</t>
  </si>
  <si>
    <t>Victoria Center apartment rental</t>
  </si>
  <si>
    <t>RP-WT-001</t>
  </si>
  <si>
    <t>Annual Renewal License</t>
  </si>
  <si>
    <t>TM*</t>
  </si>
  <si>
    <t>Annual License Renewal</t>
  </si>
  <si>
    <t>BN*</t>
  </si>
  <si>
    <t>RP-WT-002</t>
  </si>
  <si>
    <t>COI</t>
  </si>
  <si>
    <t>Certificate of Incumbency</t>
  </si>
  <si>
    <t>VENDOR REGISTER</t>
  </si>
  <si>
    <t>FRAUD CONTROL: a request to change a vendor's bank details must be verified by telephone to a number you already hold — never a number given in the request itself. Log it below.</t>
  </si>
  <si>
    <t>Vendor Code</t>
  </si>
  <si>
    <t>Vendor Name</t>
  </si>
  <si>
    <t>Entity(ies) Used By</t>
  </si>
  <si>
    <t>Country</t>
  </si>
  <si>
    <t>Contact Person</t>
  </si>
  <si>
    <t>Contact Email</t>
  </si>
  <si>
    <t>Contact Phone</t>
  </si>
  <si>
    <t>Payment Terms</t>
  </si>
  <si>
    <t>Bank Details On File</t>
  </si>
  <si>
    <t>Bank Details Last Verified</t>
  </si>
  <si>
    <t>Verified By</t>
  </si>
  <si>
    <t>Verification Method</t>
  </si>
  <si>
    <t>Days Since Verification</t>
  </si>
  <si>
    <t>Contract Reference</t>
  </si>
  <si>
    <t>Contract Expiry</t>
  </si>
  <si>
    <t>COMPLIANCE &amp; FILING CALENDAR</t>
  </si>
  <si>
    <t>POPULATE FROM AUTHORITATIVE SOURCES ONLY — your company secretary, tax agent, auditor, and the regulators' own publications. Do not populate from memory or from an AI tool.</t>
  </si>
  <si>
    <t>Obligation</t>
  </si>
  <si>
    <t>Authority / Recipient</t>
  </si>
  <si>
    <t>Period Covered</t>
  </si>
  <si>
    <t>Statutory Deadline Rule</t>
  </si>
  <si>
    <t>Next Due Date</t>
  </si>
  <si>
    <t>Days to Due</t>
  </si>
  <si>
    <t>Alert</t>
  </si>
  <si>
    <t>Responsible Party</t>
  </si>
  <si>
    <t>Internal Prep Deadline</t>
  </si>
  <si>
    <t>Supporting Documents Needed</t>
  </si>
  <si>
    <t>Submission Method</t>
  </si>
  <si>
    <t>Last Filed</t>
  </si>
  <si>
    <t>Last Filed Reference</t>
  </si>
  <si>
    <t>C-NEK-001</t>
  </si>
  <si>
    <t>KWSP (EPF) contribution</t>
  </si>
  <si>
    <t>KWSP</t>
  </si>
  <si>
    <t>15 of every month</t>
  </si>
  <si>
    <t>C-NEK-002</t>
  </si>
  <si>
    <t>SOSCO / EIS Contribution</t>
  </si>
  <si>
    <t>PERKESO</t>
  </si>
  <si>
    <t>C-NEK-003</t>
  </si>
  <si>
    <t>C-NEK-004</t>
  </si>
  <si>
    <t>Annual Return</t>
  </si>
  <si>
    <t>SSM</t>
  </si>
  <si>
    <t>YA</t>
  </si>
  <si>
    <t>C-NEK-005</t>
  </si>
  <si>
    <t>Audited financial statements</t>
  </si>
  <si>
    <t>C-NEK-006</t>
  </si>
  <si>
    <t>Tax estimate (CP 204) / revision</t>
  </si>
  <si>
    <t>10 December</t>
  </si>
  <si>
    <t>Tax Adviser</t>
  </si>
  <si>
    <t>C-NEK-007</t>
  </si>
  <si>
    <t>Corporate tax return (Form C)</t>
  </si>
  <si>
    <t>C-NEK-008</t>
  </si>
  <si>
    <t>Form E</t>
  </si>
  <si>
    <t>31 March</t>
  </si>
  <si>
    <t>C-NEK-009</t>
  </si>
  <si>
    <t>EA Form</t>
  </si>
  <si>
    <t>28 February</t>
  </si>
  <si>
    <t>C-MDL-001</t>
  </si>
  <si>
    <t>Business registration renewal</t>
  </si>
  <si>
    <t>C-MDL-002</t>
  </si>
  <si>
    <t>C-MDL-003</t>
  </si>
  <si>
    <t>C-MDL-004</t>
  </si>
  <si>
    <t>C-MDL-005</t>
  </si>
  <si>
    <t>C-NGCS-001</t>
  </si>
  <si>
    <t>C-NGCS-002</t>
  </si>
  <si>
    <t>C-NGCS-003</t>
  </si>
  <si>
    <t>C-NGCS-004</t>
  </si>
  <si>
    <t>C-NCLCAP-001</t>
  </si>
  <si>
    <t>C-NCLCAP-002</t>
  </si>
  <si>
    <t>C-NCLCAP-003</t>
  </si>
  <si>
    <t>C-NCLCAP-004</t>
  </si>
  <si>
    <t>C-NEKGV-001</t>
  </si>
  <si>
    <t>C-NEKGV-002</t>
  </si>
  <si>
    <t>C-NEKGV-003</t>
  </si>
  <si>
    <t>C-NEKGV-004</t>
  </si>
  <si>
    <t>C-SBOXCAP-001</t>
  </si>
  <si>
    <t>28 February (7 mths after 31 Jul FYE)</t>
  </si>
  <si>
    <t>VERIFY with KCK: FYE is 31 Jul, so Form C differs from the 31-Dec entities.</t>
  </si>
  <si>
    <t>C-SBOXCAP-002</t>
  </si>
  <si>
    <t>C-SBOXCAP-003</t>
  </si>
  <si>
    <t>C-SBOXCAP-004</t>
  </si>
  <si>
    <t>C-SBOXAI-001</t>
  </si>
  <si>
    <t>C-SBOXAI-002</t>
  </si>
  <si>
    <t>C-SBOXAI-003</t>
  </si>
  <si>
    <t>C-SBOXAI-004</t>
  </si>
  <si>
    <t>C-HHIL-001</t>
  </si>
  <si>
    <t>Corporate tax return</t>
  </si>
  <si>
    <t>IRD</t>
  </si>
  <si>
    <t>31 August</t>
  </si>
  <si>
    <t>C-HHIL-002</t>
  </si>
  <si>
    <t>Annual Return (NAR1)</t>
  </si>
  <si>
    <t>Companies Registries</t>
  </si>
  <si>
    <t>29 May</t>
  </si>
  <si>
    <t>C-HHIL-003</t>
  </si>
  <si>
    <t>30 November</t>
  </si>
  <si>
    <t>C-HHIL-004</t>
  </si>
  <si>
    <t>C-HHIL-005</t>
  </si>
  <si>
    <t>C-HHIL-006</t>
  </si>
  <si>
    <t>C-HHIL-007</t>
  </si>
  <si>
    <t>C-HHIL-008</t>
  </si>
  <si>
    <t>C-WT-001</t>
  </si>
  <si>
    <t>Annual return</t>
  </si>
  <si>
    <t>30 September</t>
  </si>
  <si>
    <t>C-WT-002</t>
  </si>
  <si>
    <t>E-substance Filing</t>
  </si>
  <si>
    <t>FILE NAMING CONVENTION &amp; FOLDER STRUCTURE</t>
  </si>
  <si>
    <t>THE PATTERN</t>
  </si>
  <si>
    <t>YYYY-MM-DD_ENTITY_DOCTYPE_COUNTERPARTY_REFERENCE.ext</t>
  </si>
  <si>
    <t>FIELD RULES</t>
  </si>
  <si>
    <t>Field</t>
  </si>
  <si>
    <t>Rule</t>
  </si>
  <si>
    <t>YYYY-MM-DD</t>
  </si>
  <si>
    <t>The DOCUMENT date — invoice date, statement period end, agreement date. NOT the date you saved it. ISO format always; it sorts correctly and is unambiguous across MY and HK conventions.</t>
  </si>
  <si>
    <t>ENTITY</t>
  </si>
  <si>
    <t>Entity Code from sheet 01. Uppercase, no hyphen. e.g. NEKMY01</t>
  </si>
  <si>
    <t>DOCTYPE</t>
  </si>
  <si>
    <t>Code from the list on sheet 08. Uppercase, 2-4 letters. e.g. INV, PV, BS</t>
  </si>
  <si>
    <t>COUNTERPARTY</t>
  </si>
  <si>
    <t>Short code or compressed name of the other party. No spaces — use hyphens inside the field. e.g. TNB, JOHN-TAN, MAYBANK. Use 'INTERNAL' where there is none.</t>
  </si>
  <si>
    <t>REFERENCE</t>
  </si>
  <si>
    <t>The document's own number: invoice no., voucher no., agreement no. If none exists, use a sequence or the period, e.g. 2026-07.</t>
  </si>
  <si>
    <t>.ext</t>
  </si>
  <si>
    <t>Lowercase. Prefer searchable PDF over image-only PDF or JPG.</t>
  </si>
  <si>
    <t>WORKED EXAMPLES</t>
  </si>
  <si>
    <t>Filename</t>
  </si>
  <si>
    <t>Meaning</t>
  </si>
  <si>
    <t>2026-07-08_NEKMY01_INV_TNB_843921.pdf</t>
  </si>
  <si>
    <t>TNB electricity invoice no. 843921</t>
  </si>
  <si>
    <t>2026-07-25_NEKMY01_PV_TNB_PV000324.pdf</t>
  </si>
  <si>
    <t>Payment voucher settling the above</t>
  </si>
  <si>
    <t>2026-07-31_NEKMY01_BS_MAYBANK_2026-07.pdf</t>
  </si>
  <si>
    <t>July bank statement, Maybank</t>
  </si>
  <si>
    <t>2026-07-25_NEKMY01_SAL_JOHN-TAN_2026-07.pdf</t>
  </si>
  <si>
    <t>John Tan's July salary voucher</t>
  </si>
  <si>
    <t>2026-07-01_NEKMY01_RCT_JOHN-TAN_R001245.pdf</t>
  </si>
  <si>
    <t>Rent receipt issued to tenant</t>
  </si>
  <si>
    <t>2025-09-01_NEKMY01_TA_JOHN-TAN_A-12-05.pdf</t>
  </si>
  <si>
    <t>Tenancy agreement for unit A-12-05</t>
  </si>
  <si>
    <t>2026-06-30_NEKHK01_AUD_PQR-HK_FY2025.pdf</t>
  </si>
  <si>
    <t>HK audited financial statements FY2025</t>
  </si>
  <si>
    <t>2026-03-15_NEKMY01_RES_BOARD_2026-03.pdf</t>
  </si>
  <si>
    <t>Board resolution, March 2026</t>
  </si>
  <si>
    <t>HARD RULES</t>
  </si>
  <si>
    <t>Underscore _ separates fields. Hyphen - joins words INSIDE a field. Never mix them up.</t>
  </si>
  <si>
    <t>No spaces. No &amp; % # $ ( ) , ' " / \ — these break scripts, URLs and cloud sync.</t>
  </si>
  <si>
    <t>No 'final', 'v2', 'latest', 'copy', 'new'. Version by date, or use SharePoint version history.</t>
  </si>
  <si>
    <t>Total path length under 200 characters — SharePoint and OneDrive sync fail beyond ~256.</t>
  </si>
  <si>
    <t>One document per file. Do not staple unrelated scans into one PDF.</t>
  </si>
  <si>
    <t>If a document covers a period rather than a date, use the period END date.</t>
  </si>
  <si>
    <t>Scanned documents must be OCR'd to searchable PDF before filing. An image-only PDF is invisible to search.</t>
  </si>
  <si>
    <t>FOLDER STRUCTURE</t>
  </si>
  <si>
    <t>NEK-Group-Shared/</t>
  </si>
  <si>
    <t>├── 01_Registers/                  &lt;- this workbook lives here. Restricted access.</t>
  </si>
  <si>
    <t>├── 02_Templates/                  &lt;- approved blank templates only</t>
  </si>
  <si>
    <t>├── 03_Entities/</t>
  </si>
  <si>
    <t>│   └── NEKMY01/</t>
  </si>
  <si>
    <t>│       └── 2026/</t>
  </si>
  <si>
    <t>│           ├── 01_Payables/       &lt;- supplier invoices + matching payment vouchers</t>
  </si>
  <si>
    <t>│           ├── 02_Receivables/    &lt;- sales invoices, rent receipts</t>
  </si>
  <si>
    <t>│           ├── 03_Bank/           &lt;- statements, advices  [RESTRICTED]</t>
  </si>
  <si>
    <t>│           ├── 04_Payroll/        &lt;- payroll summaries, salary vouchers  [RESTRICTED]</t>
  </si>
  <si>
    <t>│           ├── 05_Tax-Statutory/  &lt;- EPF, SOCSO, PCB, SST, tax filings</t>
  </si>
  <si>
    <t>│           ├── 06_Property/       &lt;- tenancy agreements, maintenance, insurance</t>
  </si>
  <si>
    <t>│           ├── 07_Corporate-Sec/  &lt;- resolutions, minutes, annual returns</t>
  </si>
  <si>
    <t>│           ├── 08_Contracts/      &lt;- supplier and other agreements</t>
  </si>
  <si>
    <t>│           └── 09_Audit/          &lt;- audit files, auditor correspondence</t>
  </si>
  <si>
    <t>├── 04_AI-Staging/                 &lt;- SEE NOTE BELOW</t>
  </si>
  <si>
    <t>│   ├── inbox/                     &lt;- copy IN the specific files for one task</t>
  </si>
  <si>
    <t>│   ├── outbox/                    &lt;- generated drafts land here for review</t>
  </si>
  <si>
    <t>│   └── archive/                   &lt;- cleared weekly</t>
  </si>
  <si>
    <t>└── 99_Archive/                    &lt;- closed years, read-only</t>
  </si>
  <si>
    <t>WHY THE AI-STAGING FOLDER MATTERS</t>
  </si>
  <si>
    <t>This is your primary access control. Any AI tool is pointed ONLY at 04_AI-Staging — never at the</t>
  </si>
  <si>
    <t>whole shared drive. To have a task done, someone deliberately copies the relevant files into inbox/.</t>
  </si>
  <si>
    <t>That single act makes data disclosure a conscious decision with a named person behind it, rather</t>
  </si>
  <si>
    <t>than a standing permission nobody reviews. Clear the folder weekly. Log what went in and when.</t>
  </si>
  <si>
    <t>Folders marked [RESTRICTED] should never be copied into staging without specific approval.</t>
  </si>
  <si>
    <t>CONTROLLED CODE LISTS</t>
  </si>
  <si>
    <t>Extend these lists rather than inventing codes ad hoc. An uncontrolled vocabulary is the main reason document search fails.</t>
  </si>
  <si>
    <t>Code</t>
  </si>
  <si>
    <t>Document Type</t>
  </si>
  <si>
    <t>Typical Counterparty</t>
  </si>
  <si>
    <t>List</t>
  </si>
  <si>
    <t>Permitted Values</t>
  </si>
  <si>
    <t>INV</t>
  </si>
  <si>
    <t>Vendor code</t>
  </si>
  <si>
    <t>Occupied / Vacant / Notice Given / Under Renovation</t>
  </si>
  <si>
    <t>Customer / tenant</t>
  </si>
  <si>
    <t>Employment Status</t>
  </si>
  <si>
    <t>Active / Probation / Notice / Resigned / Terminated</t>
  </si>
  <si>
    <t>OR</t>
  </si>
  <si>
    <t>Receipt issued by us</t>
  </si>
  <si>
    <t>Payer</t>
  </si>
  <si>
    <t>Payable / Receivable</t>
  </si>
  <si>
    <t>PRC</t>
  </si>
  <si>
    <t>Receipt received from a vendor</t>
  </si>
  <si>
    <t>Monthly / Bi-Monthly / Quarterly / Semi-Annual / Annual / Ad-hoc</t>
  </si>
  <si>
    <t>PV</t>
  </si>
  <si>
    <t>Payment voucher</t>
  </si>
  <si>
    <t>Payee</t>
  </si>
  <si>
    <t>Fixed / Variable</t>
  </si>
  <si>
    <t>RV</t>
  </si>
  <si>
    <t>Receiving voucher</t>
  </si>
  <si>
    <t>Entity Status</t>
  </si>
  <si>
    <t>Active / Dormant / Struck Off / In Liquidation</t>
  </si>
  <si>
    <t>JV</t>
  </si>
  <si>
    <t>Journal voucher</t>
  </si>
  <si>
    <t>INTERNAL</t>
  </si>
  <si>
    <t>Vendor Status</t>
  </si>
  <si>
    <t>Active / Inactive / Blacklisted</t>
  </si>
  <si>
    <t>SAL</t>
  </si>
  <si>
    <t>Salary voucher / payslip</t>
  </si>
  <si>
    <t>Employee code</t>
  </si>
  <si>
    <t>Telephone to known no. / In person / Signed bank letter / Original doc</t>
  </si>
  <si>
    <t>PAY</t>
  </si>
  <si>
    <t>Payroll summary / run</t>
  </si>
  <si>
    <t>Alert (auto)</t>
  </si>
  <si>
    <t>OVERDUE / DUE NOW / Prepare / (blank)</t>
  </si>
  <si>
    <t>BS</t>
  </si>
  <si>
    <t>Bank statement</t>
  </si>
  <si>
    <t>Bank name</t>
  </si>
  <si>
    <t>BA</t>
  </si>
  <si>
    <t>Bank advice / remittance slip</t>
  </si>
  <si>
    <t>UTL</t>
  </si>
  <si>
    <t>Utility bill</t>
  </si>
  <si>
    <t>Utility provider</t>
  </si>
  <si>
    <t>PO</t>
  </si>
  <si>
    <t>Purchase order</t>
  </si>
  <si>
    <t>Vendor</t>
  </si>
  <si>
    <t>QUO</t>
  </si>
  <si>
    <t>Quotation received</t>
  </si>
  <si>
    <t>DN</t>
  </si>
  <si>
    <t>Debit note</t>
  </si>
  <si>
    <t>CN</t>
  </si>
  <si>
    <t>Credit note</t>
  </si>
  <si>
    <t>TA</t>
  </si>
  <si>
    <t>Tenancy agreement</t>
  </si>
  <si>
    <t>Tenant</t>
  </si>
  <si>
    <t>TAR</t>
  </si>
  <si>
    <t>Tenancy renewal / addendum</t>
  </si>
  <si>
    <t>CON</t>
  </si>
  <si>
    <t>Contract / agreement (general)</t>
  </si>
  <si>
    <t>NDA</t>
  </si>
  <si>
    <t>Non-disclosure agreement</t>
  </si>
  <si>
    <t>INS</t>
  </si>
  <si>
    <t>Insurance policy / renewal</t>
  </si>
  <si>
    <t>Insurer</t>
  </si>
  <si>
    <t>MIN</t>
  </si>
  <si>
    <t>Meeting minutes</t>
  </si>
  <si>
    <t>BOARD / MGMT</t>
  </si>
  <si>
    <t>RES</t>
  </si>
  <si>
    <t>Board or shareholder resolution</t>
  </si>
  <si>
    <t>BOARD / SHAREHOLDERS</t>
  </si>
  <si>
    <t>AR</t>
  </si>
  <si>
    <t>SSM / CR</t>
  </si>
  <si>
    <t>STAT</t>
  </si>
  <si>
    <t>Statutory filing / receipt</t>
  </si>
  <si>
    <t>Authority</t>
  </si>
  <si>
    <t>TAX</t>
  </si>
  <si>
    <t>Tax return / computation / assessment</t>
  </si>
  <si>
    <t>LHDN / IRD</t>
  </si>
  <si>
    <t>AUD</t>
  </si>
  <si>
    <t>MGT</t>
  </si>
  <si>
    <t>Management accounts / internal report</t>
  </si>
  <si>
    <t>COR</t>
  </si>
  <si>
    <t>Correspondence (letters, formal email)</t>
  </si>
  <si>
    <t>LIC</t>
  </si>
  <si>
    <t>Licence, permit, registration cert</t>
  </si>
  <si>
    <t>VAL</t>
  </si>
  <si>
    <t>Valuation report</t>
  </si>
  <si>
    <t>Valuer</t>
  </si>
  <si>
    <t>TTL</t>
  </si>
  <si>
    <t>Title deed / land document</t>
  </si>
  <si>
    <t>BANK ACCOUNT REGISTER — one row per account. The single source for bank details and bank codes used in document reference numbers.</t>
  </si>
  <si>
    <t>Bank Code is short and permanent (it appears in every document reference). An entity may have several accounts. Fill the yellow columns; keep account numbers here only if your data-protection review allows — otherwise leave blank and hold them in the accounting system.</t>
  </si>
  <si>
    <t>Bank Code</t>
  </si>
  <si>
    <t>Bank Name</t>
  </si>
  <si>
    <t>Branch</t>
  </si>
  <si>
    <t>Account Name</t>
  </si>
  <si>
    <t>Account No.</t>
  </si>
  <si>
    <t>Purpose / Notes</t>
  </si>
  <si>
    <t>Details Last Verified</t>
  </si>
  <si>
    <t>BOC</t>
  </si>
  <si>
    <t>Bank of China (Malaysia) Berhad</t>
  </si>
  <si>
    <t>[account name]</t>
  </si>
  <si>
    <t>[to confirm]</t>
  </si>
  <si>
    <t>Main operating account</t>
  </si>
  <si>
    <t>MBB</t>
  </si>
  <si>
    <t>Malayan Banking Berhad (Maybank)</t>
  </si>
  <si>
    <t>Secondary account</t>
  </si>
  <si>
    <t>UOB</t>
  </si>
  <si>
    <t>United Overseas Bank (Malaysia)</t>
  </si>
  <si>
    <t>Rental collection / operations</t>
  </si>
  <si>
    <t>OCBC</t>
  </si>
  <si>
    <t>OCBC Bank (Malaysia) Berhad</t>
  </si>
  <si>
    <t>BOCOM</t>
  </si>
  <si>
    <t>Bank of Communications (Hong Kong)</t>
  </si>
  <si>
    <t>HK property rental / fees</t>
  </si>
  <si>
    <t>TBC</t>
  </si>
  <si>
    <t>Masked in source data</t>
  </si>
  <si>
    <t>Note: a bank code identifies the BANK, not a single account — Bank of China is 'BOC' for every entity that banks there. The account is identified by the pair (Entity Code + Bank Code). If one entity ever holds two accounts at the same bank, extend the code (e.g. BOC1, BOC2).</t>
  </si>
  <si>
    <t>Shared account with NCL (spouses) - Sha Tin rental. Same physical account as NCL|BOCOM; two entity keys, one account.</t>
  </si>
  <si>
    <t>Timothy Ng</t>
  </si>
  <si>
    <t>Invoice issued by us (receivable)</t>
  </si>
  <si>
    <t>PINV</t>
  </si>
  <si>
    <t>Supplier invoice received (payable)</t>
  </si>
  <si>
    <t>CAVATINA</t>
  </si>
  <si>
    <t>Seeded from 04 Recurring Payments 2026-07-31. Confirm registration no., contact details and payment terms.</t>
  </si>
  <si>
    <t>EXCELIZ</t>
  </si>
  <si>
    <t>HHIL, MDL, NCLCAP, NEK, NEKGV, NGCS, SBOXAI, SBOXCAP</t>
  </si>
  <si>
    <t>HONGYIP</t>
  </si>
  <si>
    <t>KBLOH</t>
  </si>
  <si>
    <t>KCK-AUD</t>
  </si>
  <si>
    <t>KCK-TAX</t>
  </si>
  <si>
    <t>KRAJA</t>
  </si>
  <si>
    <t>HHIL, NEK</t>
  </si>
  <si>
    <t>Business License / Land Tax</t>
  </si>
  <si>
    <t>HHIL, MDL</t>
  </si>
  <si>
    <t>MTR</t>
  </si>
  <si>
    <t>PLO</t>
  </si>
  <si>
    <t>QUAYSIDE-JMB</t>
  </si>
  <si>
    <t>RVD</t>
  </si>
  <si>
    <t>TMUNIFI</t>
  </si>
  <si>
    <t>TNB</t>
  </si>
  <si>
    <t>Sha 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</si>
</sst>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6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i/>
      <sz val="10"/>
      <color rgb="FF595959"/>
      <name val="Arial"/>
      <family val="2"/>
    </font>
    <font>
      <b/>
      <sz val="11"/>
      <color rgb="FF1F386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i/>
      <sz val="10"/>
      <color rgb="FFC00000"/>
      <name val="Arial"/>
      <family val="2"/>
    </font>
    <font>
      <b/>
      <sz val="10"/>
      <color rgb="FFC00000"/>
      <name val="Arial"/>
      <family val="2"/>
    </font>
    <font>
      <i/>
      <sz val="10"/>
      <color rgb="FF808080"/>
      <name val="Arial"/>
      <family val="2"/>
    </font>
    <font>
      <b/>
      <sz val="12"/>
      <color rgb="FF1F3864"/>
      <name val="Courier New"/>
      <family val="3"/>
    </font>
    <font>
      <b/>
      <sz val="10"/>
      <name val="Courier New"/>
      <family val="3"/>
    </font>
    <font>
      <sz val="9"/>
      <name val="Courier New"/>
      <family val="3"/>
    </font>
    <font>
      <i/>
      <sz val="9"/>
      <color rgb="FFC00000"/>
      <name val="Arial"/>
      <family val="2"/>
    </font>
    <font>
      <sz val="9"/>
      <color rgb="FF000000"/>
      <name val="Arial"/>
      <family val="2"/>
    </font>
    <font>
      <i/>
      <sz val="9"/>
      <color rgb="FF59595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0" xfId="0" applyFont="1" applyFill="1"/>
    <xf numFmtId="0" fontId="5" fillId="3" borderId="0" xfId="0" applyFont="1" applyFill="1"/>
    <xf numFmtId="0" fontId="5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left"/>
    </xf>
    <xf numFmtId="164" fontId="4" fillId="2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164" fontId="4" fillId="2" borderId="1" xfId="0" applyNumberFormat="1" applyFont="1" applyFill="1" applyBorder="1"/>
    <xf numFmtId="4" fontId="4" fillId="2" borderId="1" xfId="0" applyNumberFormat="1" applyFont="1" applyFill="1" applyBorder="1"/>
    <xf numFmtId="0" fontId="4" fillId="3" borderId="1" xfId="0" applyFont="1" applyFill="1" applyBorder="1"/>
    <xf numFmtId="0" fontId="7" fillId="0" borderId="0" xfId="0" applyFont="1"/>
    <xf numFmtId="49" fontId="4" fillId="2" borderId="1" xfId="0" applyNumberFormat="1" applyFont="1" applyFill="1" applyBorder="1"/>
    <xf numFmtId="0" fontId="8" fillId="0" borderId="0" xfId="0" applyFont="1"/>
    <xf numFmtId="0" fontId="9" fillId="0" borderId="1" xfId="0" applyFont="1" applyBorder="1" applyAlignment="1">
      <alignment vertical="top" wrapText="1"/>
    </xf>
    <xf numFmtId="0" fontId="9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3" fillId="0" borderId="0" xfId="0" applyFont="1"/>
    <xf numFmtId="0" fontId="14" fillId="0" borderId="1" xfId="0" applyFont="1" applyBorder="1" applyAlignment="1">
      <alignment horizontal="left" vertical="top" wrapText="1"/>
    </xf>
    <xf numFmtId="0" fontId="14" fillId="2" borderId="1" xfId="0" applyFont="1" applyFill="1" applyBorder="1" applyAlignment="1">
      <alignment horizontal="left" vertical="top" wrapText="1"/>
    </xf>
    <xf numFmtId="164" fontId="14" fillId="2" borderId="1" xfId="0" applyNumberFormat="1" applyFont="1" applyFill="1" applyBorder="1" applyAlignment="1">
      <alignment horizontal="left" vertical="top" wrapText="1"/>
    </xf>
    <xf numFmtId="0" fontId="14" fillId="2" borderId="1" xfId="0" applyFont="1" applyFill="1" applyBorder="1"/>
    <xf numFmtId="164" fontId="14" fillId="2" borderId="1" xfId="0" applyNumberFormat="1" applyFont="1" applyFill="1" applyBorder="1"/>
    <xf numFmtId="0" fontId="4" fillId="2" borderId="1" xfId="0" applyFont="1" applyFill="1" applyBorder="1" applyAlignment="1">
      <alignment horizontal="right"/>
    </xf>
    <xf numFmtId="49" fontId="4" fillId="2" borderId="1" xfId="0" applyNumberFormat="1" applyFont="1" applyFill="1" applyBorder="1" applyAlignment="1">
      <alignment horizontal="right"/>
    </xf>
    <xf numFmtId="0" fontId="4" fillId="0" borderId="0" xfId="0" applyFont="1"/>
    <xf numFmtId="0" fontId="12" fillId="0" borderId="0" xfId="0" applyFont="1"/>
    <xf numFmtId="0" fontId="10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43"/>
  <sheetViews>
    <sheetView showGridLines="0" topLeftCell="A45" zoomScaleNormal="100" workbookViewId="0">
      <selection activeCell="C16" sqref="C16"/>
    </sheetView>
  </sheetViews>
  <sheetFormatPr defaultColWidth="8.6328125" defaultRowHeight="14.5" x14ac:dyDescent="0.35"/>
  <cols>
    <col min="1" max="1" width="3" customWidth="1"/>
    <col min="2" max="2" width="30" customWidth="1"/>
    <col min="3" max="3" width="100" customWidth="1"/>
  </cols>
  <sheetData>
    <row r="2" spans="2:3" ht="18" customHeight="1" x14ac:dyDescent="0.4">
      <c r="B2" s="2" t="s">
        <v>0</v>
      </c>
    </row>
    <row r="3" spans="2:3" ht="14.25" customHeight="1" x14ac:dyDescent="0.35">
      <c r="B3" s="3" t="s">
        <v>1</v>
      </c>
    </row>
    <row r="5" spans="2:3" ht="14.25" customHeight="1" x14ac:dyDescent="0.35">
      <c r="B5" s="4" t="s">
        <v>2</v>
      </c>
    </row>
    <row r="6" spans="2:3" ht="14.25" customHeight="1" x14ac:dyDescent="0.35">
      <c r="B6" s="32" t="s">
        <v>3</v>
      </c>
      <c r="C6" s="32"/>
    </row>
    <row r="7" spans="2:3" ht="14.25" customHeight="1" x14ac:dyDescent="0.35">
      <c r="B7" s="32" t="s">
        <v>4</v>
      </c>
      <c r="C7" s="32"/>
    </row>
    <row r="8" spans="2:3" ht="14.25" customHeight="1" x14ac:dyDescent="0.35">
      <c r="B8" s="32" t="s">
        <v>5</v>
      </c>
      <c r="C8" s="32"/>
    </row>
    <row r="9" spans="2:3" ht="14.25" customHeight="1" x14ac:dyDescent="0.35">
      <c r="B9" s="32" t="s">
        <v>6</v>
      </c>
      <c r="C9" s="32"/>
    </row>
    <row r="10" spans="2:3" ht="14.25" customHeight="1" x14ac:dyDescent="0.35">
      <c r="B10" s="32"/>
      <c r="C10" s="32"/>
    </row>
    <row r="11" spans="2:3" ht="14.25" customHeight="1" x14ac:dyDescent="0.35">
      <c r="B11" s="32" t="s">
        <v>7</v>
      </c>
      <c r="C11" s="32"/>
    </row>
    <row r="13" spans="2:3" ht="14.25" customHeight="1" x14ac:dyDescent="0.35">
      <c r="B13" s="4" t="s">
        <v>8</v>
      </c>
    </row>
    <row r="14" spans="2:3" ht="14.25" customHeight="1" x14ac:dyDescent="0.35">
      <c r="B14" s="5" t="s">
        <v>9</v>
      </c>
      <c r="C14" s="1" t="s">
        <v>10</v>
      </c>
    </row>
    <row r="15" spans="2:3" ht="14.25" customHeight="1" x14ac:dyDescent="0.35">
      <c r="B15" s="6" t="s">
        <v>11</v>
      </c>
      <c r="C15" s="1" t="s">
        <v>12</v>
      </c>
    </row>
    <row r="16" spans="2:3" ht="14.25" customHeight="1" x14ac:dyDescent="0.35">
      <c r="B16" s="7" t="s">
        <v>13</v>
      </c>
      <c r="C16" s="1" t="s">
        <v>14</v>
      </c>
    </row>
    <row r="17" spans="2:3" ht="14.25" customHeight="1" x14ac:dyDescent="0.35">
      <c r="B17" s="7" t="s">
        <v>15</v>
      </c>
      <c r="C17" s="1" t="s">
        <v>16</v>
      </c>
    </row>
    <row r="19" spans="2:3" ht="14.25" customHeight="1" x14ac:dyDescent="0.35">
      <c r="B19" s="4" t="s">
        <v>17</v>
      </c>
    </row>
    <row r="20" spans="2:3" ht="14.25" customHeight="1" x14ac:dyDescent="0.35">
      <c r="B20" s="7" t="s">
        <v>18</v>
      </c>
      <c r="C20" s="1" t="s">
        <v>19</v>
      </c>
    </row>
    <row r="21" spans="2:3" ht="14.25" customHeight="1" x14ac:dyDescent="0.35">
      <c r="B21" s="7" t="s">
        <v>20</v>
      </c>
      <c r="C21" s="1" t="s">
        <v>21</v>
      </c>
    </row>
    <row r="22" spans="2:3" ht="14.25" customHeight="1" x14ac:dyDescent="0.35">
      <c r="B22" s="7" t="s">
        <v>22</v>
      </c>
      <c r="C22" s="1" t="s">
        <v>23</v>
      </c>
    </row>
    <row r="23" spans="2:3" ht="14.25" customHeight="1" x14ac:dyDescent="0.35">
      <c r="B23" s="7" t="s">
        <v>24</v>
      </c>
      <c r="C23" s="1" t="s">
        <v>25</v>
      </c>
    </row>
    <row r="24" spans="2:3" ht="14.25" customHeight="1" x14ac:dyDescent="0.35">
      <c r="B24" s="7" t="s">
        <v>26</v>
      </c>
      <c r="C24" s="1" t="s">
        <v>27</v>
      </c>
    </row>
    <row r="25" spans="2:3" ht="14.25" customHeight="1" x14ac:dyDescent="0.35">
      <c r="B25" s="7" t="s">
        <v>28</v>
      </c>
      <c r="C25" s="1" t="s">
        <v>29</v>
      </c>
    </row>
    <row r="26" spans="2:3" ht="14.25" customHeight="1" x14ac:dyDescent="0.35">
      <c r="B26" s="7" t="s">
        <v>30</v>
      </c>
      <c r="C26" s="1" t="s">
        <v>31</v>
      </c>
    </row>
    <row r="27" spans="2:3" ht="14.25" customHeight="1" x14ac:dyDescent="0.35">
      <c r="B27" s="7" t="s">
        <v>32</v>
      </c>
      <c r="C27" s="1" t="s">
        <v>33</v>
      </c>
    </row>
    <row r="29" spans="2:3" ht="14.25" customHeight="1" x14ac:dyDescent="0.35">
      <c r="B29" s="4" t="s">
        <v>34</v>
      </c>
    </row>
    <row r="30" spans="2:3" ht="14.25" customHeight="1" x14ac:dyDescent="0.35">
      <c r="B30" s="32" t="s">
        <v>35</v>
      </c>
      <c r="C30" s="32"/>
    </row>
    <row r="31" spans="2:3" ht="14.25" customHeight="1" x14ac:dyDescent="0.35">
      <c r="B31" s="32" t="s">
        <v>36</v>
      </c>
      <c r="C31" s="32"/>
    </row>
    <row r="32" spans="2:3" ht="14.25" customHeight="1" x14ac:dyDescent="0.35">
      <c r="B32" s="32" t="s">
        <v>37</v>
      </c>
      <c r="C32" s="32"/>
    </row>
    <row r="33" spans="2:3" ht="14.25" customHeight="1" x14ac:dyDescent="0.35">
      <c r="B33" s="32" t="s">
        <v>38</v>
      </c>
      <c r="C33" s="32"/>
    </row>
    <row r="34" spans="2:3" ht="14.25" customHeight="1" x14ac:dyDescent="0.35">
      <c r="B34" s="32" t="s">
        <v>39</v>
      </c>
      <c r="C34" s="32"/>
    </row>
    <row r="35" spans="2:3" ht="14.25" customHeight="1" x14ac:dyDescent="0.35">
      <c r="B35" s="32" t="s">
        <v>40</v>
      </c>
      <c r="C35" s="32"/>
    </row>
    <row r="36" spans="2:3" ht="14.25" customHeight="1" x14ac:dyDescent="0.35">
      <c r="B36" s="32" t="s">
        <v>41</v>
      </c>
      <c r="C36" s="32"/>
    </row>
    <row r="38" spans="2:3" ht="14.25" customHeight="1" x14ac:dyDescent="0.35">
      <c r="B38" s="4" t="s">
        <v>42</v>
      </c>
    </row>
    <row r="39" spans="2:3" ht="14.25" customHeight="1" x14ac:dyDescent="0.35">
      <c r="B39" s="32" t="s">
        <v>43</v>
      </c>
      <c r="C39" s="32"/>
    </row>
    <row r="40" spans="2:3" ht="14.25" customHeight="1" x14ac:dyDescent="0.35">
      <c r="B40" s="32" t="s">
        <v>44</v>
      </c>
      <c r="C40" s="32"/>
    </row>
    <row r="41" spans="2:3" ht="14.25" customHeight="1" x14ac:dyDescent="0.35">
      <c r="B41" s="32" t="s">
        <v>45</v>
      </c>
      <c r="C41" s="32"/>
    </row>
    <row r="42" spans="2:3" ht="14.25" customHeight="1" x14ac:dyDescent="0.35">
      <c r="B42" s="32" t="s">
        <v>46</v>
      </c>
      <c r="C42" s="32"/>
    </row>
    <row r="43" spans="2:3" ht="14.25" customHeight="1" x14ac:dyDescent="0.35">
      <c r="B43" s="32" t="s">
        <v>47</v>
      </c>
      <c r="C43" s="32"/>
    </row>
  </sheetData>
  <mergeCells count="18">
    <mergeCell ref="B6:C6"/>
    <mergeCell ref="B7:C7"/>
    <mergeCell ref="B8:C8"/>
    <mergeCell ref="B9:C9"/>
    <mergeCell ref="B10:C10"/>
    <mergeCell ref="B11:C11"/>
    <mergeCell ref="B30:C30"/>
    <mergeCell ref="B31:C31"/>
    <mergeCell ref="B32:C32"/>
    <mergeCell ref="B33:C33"/>
    <mergeCell ref="B41:C41"/>
    <mergeCell ref="B42:C42"/>
    <mergeCell ref="B43:C43"/>
    <mergeCell ref="B34:C34"/>
    <mergeCell ref="B35:C35"/>
    <mergeCell ref="B36:C36"/>
    <mergeCell ref="B39:C39"/>
    <mergeCell ref="B40:C4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5"/>
  <sheetViews>
    <sheetView showGridLines="0" zoomScaleNormal="100" workbookViewId="0">
      <pane xSplit="1" ySplit="4" topLeftCell="J5" activePane="bottomRight" state="frozen"/>
      <selection pane="topRight" activeCell="B1" sqref="B1"/>
      <selection pane="bottomLeft" activeCell="A5" sqref="A5"/>
      <selection pane="bottomRight" activeCell="P8" sqref="P8"/>
    </sheetView>
  </sheetViews>
  <sheetFormatPr defaultColWidth="8.6328125" defaultRowHeight="14.5" x14ac:dyDescent="0.35"/>
  <cols>
    <col min="1" max="1" width="14" customWidth="1"/>
    <col min="2" max="2" width="30.08984375" customWidth="1"/>
    <col min="3" max="3" width="10.90625" customWidth="1"/>
    <col min="4" max="4" width="24.26953125" customWidth="1"/>
    <col min="5" max="5" width="12.6328125" customWidth="1"/>
    <col min="6" max="6" width="13.6328125" customWidth="1"/>
    <col min="7" max="7" width="10.08984375" customWidth="1"/>
    <col min="8" max="8" width="59.453125" customWidth="1"/>
    <col min="9" max="9" width="25.453125" customWidth="1"/>
    <col min="10" max="10" width="72.90625" customWidth="1"/>
    <col min="11" max="11" width="19.7265625" customWidth="1"/>
    <col min="12" max="12" width="60.26953125" customWidth="1"/>
    <col min="13" max="13" width="6.36328125" customWidth="1"/>
    <col min="14" max="14" width="28.7265625" customWidth="1"/>
    <col min="15" max="15" width="16" customWidth="1"/>
    <col min="16" max="16" width="24" customWidth="1"/>
  </cols>
  <sheetData>
    <row r="1" spans="1:16" ht="18" customHeight="1" x14ac:dyDescent="0.4">
      <c r="A1" s="2" t="s">
        <v>48</v>
      </c>
    </row>
    <row r="2" spans="1:16" ht="14.25" customHeight="1" x14ac:dyDescent="0.35">
      <c r="A2" s="3" t="s">
        <v>49</v>
      </c>
    </row>
    <row r="4" spans="1:16" ht="31.5" customHeight="1" x14ac:dyDescent="0.35">
      <c r="A4" s="8" t="s">
        <v>50</v>
      </c>
      <c r="B4" s="8" t="s">
        <v>51</v>
      </c>
      <c r="C4" s="8" t="s">
        <v>52</v>
      </c>
      <c r="D4" s="8" t="s">
        <v>53</v>
      </c>
      <c r="E4" s="8" t="s">
        <v>54</v>
      </c>
      <c r="F4" s="8" t="s">
        <v>55</v>
      </c>
      <c r="G4" s="8" t="s">
        <v>56</v>
      </c>
      <c r="H4" s="8" t="s">
        <v>57</v>
      </c>
      <c r="I4" s="8" t="s">
        <v>58</v>
      </c>
      <c r="J4" s="8" t="s">
        <v>59</v>
      </c>
      <c r="K4" s="8" t="s">
        <v>60</v>
      </c>
      <c r="L4" s="8" t="s">
        <v>61</v>
      </c>
      <c r="M4" s="8" t="s">
        <v>62</v>
      </c>
      <c r="N4" s="8" t="s">
        <v>63</v>
      </c>
      <c r="O4" s="8" t="s">
        <v>64</v>
      </c>
      <c r="P4" s="8" t="s">
        <v>65</v>
      </c>
    </row>
    <row r="5" spans="1:16" ht="15.75" customHeight="1" x14ac:dyDescent="0.35">
      <c r="A5" s="9" t="s">
        <v>66</v>
      </c>
      <c r="B5" s="9" t="s">
        <v>67</v>
      </c>
      <c r="C5" s="9" t="s">
        <v>68</v>
      </c>
      <c r="D5" s="10" t="s">
        <v>69</v>
      </c>
      <c r="E5" s="11">
        <v>30737</v>
      </c>
      <c r="F5" s="12" t="s">
        <v>70</v>
      </c>
      <c r="G5" s="9" t="s">
        <v>71</v>
      </c>
      <c r="H5" s="9" t="s">
        <v>72</v>
      </c>
      <c r="I5" s="9" t="s">
        <v>73</v>
      </c>
      <c r="J5" s="9" t="s">
        <v>74</v>
      </c>
      <c r="K5" s="9" t="s">
        <v>75</v>
      </c>
      <c r="L5" s="9" t="s">
        <v>76</v>
      </c>
      <c r="M5" s="9" t="s">
        <v>77</v>
      </c>
      <c r="N5" s="9"/>
      <c r="O5" s="9" t="s">
        <v>78</v>
      </c>
      <c r="P5" s="9" t="s">
        <v>79</v>
      </c>
    </row>
    <row r="6" spans="1:16" ht="15.75" customHeight="1" x14ac:dyDescent="0.35">
      <c r="A6" s="9" t="s">
        <v>80</v>
      </c>
      <c r="B6" s="9" t="s">
        <v>81</v>
      </c>
      <c r="C6" s="9" t="s">
        <v>68</v>
      </c>
      <c r="D6" s="10" t="s">
        <v>82</v>
      </c>
      <c r="E6" s="11">
        <v>42794</v>
      </c>
      <c r="F6" s="12" t="s">
        <v>70</v>
      </c>
      <c r="G6" s="9" t="s">
        <v>71</v>
      </c>
      <c r="H6" s="9" t="s">
        <v>83</v>
      </c>
      <c r="I6" s="9" t="s">
        <v>73</v>
      </c>
      <c r="J6" s="9" t="s">
        <v>74</v>
      </c>
      <c r="K6" s="9" t="s">
        <v>75</v>
      </c>
      <c r="L6" s="9" t="s">
        <v>76</v>
      </c>
      <c r="M6" s="9" t="s">
        <v>77</v>
      </c>
      <c r="N6" s="9"/>
      <c r="O6" s="9" t="s">
        <v>78</v>
      </c>
      <c r="P6" s="9" t="s">
        <v>79</v>
      </c>
    </row>
    <row r="7" spans="1:16" ht="15.75" customHeight="1" x14ac:dyDescent="0.35">
      <c r="A7" s="9" t="s">
        <v>84</v>
      </c>
      <c r="B7" s="9" t="s">
        <v>85</v>
      </c>
      <c r="C7" s="9" t="s">
        <v>68</v>
      </c>
      <c r="D7" s="10" t="s">
        <v>86</v>
      </c>
      <c r="E7" s="11">
        <v>43370</v>
      </c>
      <c r="F7" s="12" t="s">
        <v>70</v>
      </c>
      <c r="G7" s="9" t="s">
        <v>71</v>
      </c>
      <c r="H7" s="9" t="s">
        <v>87</v>
      </c>
      <c r="I7" s="9" t="s">
        <v>73</v>
      </c>
      <c r="J7" s="9" t="s">
        <v>74</v>
      </c>
      <c r="K7" s="9" t="s">
        <v>75</v>
      </c>
      <c r="L7" s="9" t="s">
        <v>76</v>
      </c>
      <c r="M7" s="9" t="s">
        <v>77</v>
      </c>
      <c r="N7" s="9"/>
      <c r="O7" s="9" t="s">
        <v>78</v>
      </c>
      <c r="P7" s="9" t="s">
        <v>79</v>
      </c>
    </row>
    <row r="8" spans="1:16" ht="15.75" customHeight="1" x14ac:dyDescent="0.35">
      <c r="A8" s="9" t="s">
        <v>88</v>
      </c>
      <c r="B8" s="9" t="s">
        <v>89</v>
      </c>
      <c r="C8" s="9" t="s">
        <v>90</v>
      </c>
      <c r="D8" s="10" t="s">
        <v>91</v>
      </c>
      <c r="E8" s="11">
        <v>43572</v>
      </c>
      <c r="F8" s="12" t="s">
        <v>70</v>
      </c>
      <c r="G8" s="9" t="s">
        <v>92</v>
      </c>
      <c r="H8" s="9" t="s">
        <v>72</v>
      </c>
      <c r="I8" s="9" t="s">
        <v>93</v>
      </c>
      <c r="J8" s="9" t="s">
        <v>74</v>
      </c>
      <c r="K8" s="9" t="s">
        <v>75</v>
      </c>
      <c r="L8" s="9" t="s">
        <v>94</v>
      </c>
      <c r="M8" s="9" t="s">
        <v>77</v>
      </c>
      <c r="N8" s="9"/>
      <c r="O8" s="9" t="s">
        <v>78</v>
      </c>
      <c r="P8" s="9" t="s">
        <v>79</v>
      </c>
    </row>
    <row r="9" spans="1:16" ht="15.75" customHeight="1" x14ac:dyDescent="0.35">
      <c r="A9" s="9" t="s">
        <v>95</v>
      </c>
      <c r="B9" s="9" t="s">
        <v>96</v>
      </c>
      <c r="C9" s="9" t="s">
        <v>68</v>
      </c>
      <c r="D9" s="10" t="s">
        <v>97</v>
      </c>
      <c r="E9" s="11">
        <v>44783</v>
      </c>
      <c r="F9" s="12" t="s">
        <v>70</v>
      </c>
      <c r="G9" s="9" t="s">
        <v>71</v>
      </c>
      <c r="H9" s="9" t="s">
        <v>98</v>
      </c>
      <c r="I9" s="9" t="s">
        <v>73</v>
      </c>
      <c r="J9" s="9" t="s">
        <v>74</v>
      </c>
      <c r="K9" s="9" t="s">
        <v>75</v>
      </c>
      <c r="L9" s="9" t="s">
        <v>76</v>
      </c>
      <c r="M9" s="9" t="s">
        <v>77</v>
      </c>
      <c r="N9" s="9"/>
      <c r="O9" s="9" t="s">
        <v>78</v>
      </c>
      <c r="P9" s="9" t="s">
        <v>79</v>
      </c>
    </row>
    <row r="10" spans="1:16" ht="15.75" customHeight="1" x14ac:dyDescent="0.35">
      <c r="A10" s="9" t="s">
        <v>99</v>
      </c>
      <c r="B10" s="9" t="s">
        <v>100</v>
      </c>
      <c r="C10" s="9" t="s">
        <v>68</v>
      </c>
      <c r="D10" s="10" t="s">
        <v>101</v>
      </c>
      <c r="E10" s="11">
        <v>44792</v>
      </c>
      <c r="F10" s="12" t="s">
        <v>70</v>
      </c>
      <c r="G10" s="9" t="s">
        <v>71</v>
      </c>
      <c r="H10" s="9" t="s">
        <v>102</v>
      </c>
      <c r="I10" s="9" t="s">
        <v>73</v>
      </c>
      <c r="J10" s="9" t="s">
        <v>74</v>
      </c>
      <c r="K10" s="9" t="s">
        <v>75</v>
      </c>
      <c r="L10" s="9" t="s">
        <v>76</v>
      </c>
      <c r="M10" s="9" t="s">
        <v>77</v>
      </c>
      <c r="N10" s="9"/>
      <c r="O10" s="9" t="s">
        <v>78</v>
      </c>
      <c r="P10" s="9" t="s">
        <v>79</v>
      </c>
    </row>
    <row r="11" spans="1:16" ht="15.75" customHeight="1" x14ac:dyDescent="0.35">
      <c r="A11" s="9" t="s">
        <v>103</v>
      </c>
      <c r="B11" s="9" t="s">
        <v>104</v>
      </c>
      <c r="C11" s="9" t="s">
        <v>68</v>
      </c>
      <c r="D11" s="10" t="s">
        <v>105</v>
      </c>
      <c r="E11" s="11">
        <v>44214</v>
      </c>
      <c r="F11" s="12" t="s">
        <v>106</v>
      </c>
      <c r="G11" s="9" t="s">
        <v>71</v>
      </c>
      <c r="H11" s="9" t="s">
        <v>107</v>
      </c>
      <c r="I11" s="9" t="s">
        <v>73</v>
      </c>
      <c r="J11" s="9" t="s">
        <v>74</v>
      </c>
      <c r="K11" s="9" t="s">
        <v>75</v>
      </c>
      <c r="L11" s="9" t="s">
        <v>76</v>
      </c>
      <c r="M11" s="9" t="s">
        <v>77</v>
      </c>
      <c r="N11" s="9"/>
      <c r="O11" s="9" t="s">
        <v>78</v>
      </c>
      <c r="P11" s="9" t="s">
        <v>79</v>
      </c>
    </row>
    <row r="12" spans="1:16" ht="15.75" customHeight="1" x14ac:dyDescent="0.35">
      <c r="A12" s="9" t="s">
        <v>108</v>
      </c>
      <c r="B12" s="9" t="s">
        <v>109</v>
      </c>
      <c r="C12" s="9" t="s">
        <v>68</v>
      </c>
      <c r="D12" s="10" t="s">
        <v>110</v>
      </c>
      <c r="E12" s="11">
        <v>45014</v>
      </c>
      <c r="F12" s="12" t="s">
        <v>106</v>
      </c>
      <c r="G12" s="9" t="s">
        <v>71</v>
      </c>
      <c r="H12" s="9" t="s">
        <v>111</v>
      </c>
      <c r="I12" s="9" t="s">
        <v>73</v>
      </c>
      <c r="J12" s="9" t="s">
        <v>74</v>
      </c>
      <c r="K12" s="9" t="s">
        <v>75</v>
      </c>
      <c r="L12" s="9" t="s">
        <v>76</v>
      </c>
      <c r="M12" s="9" t="s">
        <v>77</v>
      </c>
      <c r="N12" s="9"/>
      <c r="O12" s="9" t="s">
        <v>78</v>
      </c>
      <c r="P12" s="9" t="s">
        <v>79</v>
      </c>
    </row>
    <row r="13" spans="1:16" ht="15.75" customHeight="1" x14ac:dyDescent="0.35">
      <c r="A13" s="9" t="s">
        <v>112</v>
      </c>
      <c r="B13" s="9" t="s">
        <v>113</v>
      </c>
      <c r="C13" s="9" t="s">
        <v>68</v>
      </c>
      <c r="D13" s="10" t="s">
        <v>114</v>
      </c>
      <c r="E13" s="11" t="s">
        <v>114</v>
      </c>
      <c r="F13" s="10" t="s">
        <v>114</v>
      </c>
      <c r="G13" s="9" t="s">
        <v>92</v>
      </c>
      <c r="H13" s="9" t="s">
        <v>114</v>
      </c>
      <c r="I13" s="9" t="s">
        <v>114</v>
      </c>
      <c r="J13" s="9" t="s">
        <v>115</v>
      </c>
      <c r="K13" s="9" t="s">
        <v>114</v>
      </c>
      <c r="L13" s="9" t="s">
        <v>114</v>
      </c>
      <c r="M13" s="9" t="s">
        <v>77</v>
      </c>
      <c r="N13" s="9"/>
      <c r="O13" s="9" t="s">
        <v>78</v>
      </c>
      <c r="P13" s="9" t="s">
        <v>79</v>
      </c>
    </row>
    <row r="14" spans="1:16" ht="15.75" customHeight="1" x14ac:dyDescent="0.35">
      <c r="A14" s="9" t="s">
        <v>116</v>
      </c>
      <c r="B14" s="9" t="s">
        <v>117</v>
      </c>
      <c r="C14" s="9" t="s">
        <v>90</v>
      </c>
      <c r="D14" s="10" t="s">
        <v>114</v>
      </c>
      <c r="E14" s="11" t="s">
        <v>114</v>
      </c>
      <c r="F14" s="10" t="s">
        <v>114</v>
      </c>
      <c r="G14" s="9" t="s">
        <v>92</v>
      </c>
      <c r="H14" s="9" t="s">
        <v>114</v>
      </c>
      <c r="I14" s="9" t="s">
        <v>114</v>
      </c>
      <c r="J14" s="9" t="s">
        <v>115</v>
      </c>
      <c r="K14" s="9" t="s">
        <v>114</v>
      </c>
      <c r="L14" s="9" t="s">
        <v>114</v>
      </c>
      <c r="M14" s="9" t="s">
        <v>77</v>
      </c>
      <c r="N14" s="9"/>
      <c r="O14" s="9" t="s">
        <v>78</v>
      </c>
      <c r="P14" s="9" t="s">
        <v>79</v>
      </c>
    </row>
    <row r="15" spans="1:16" ht="15.75" customHeight="1" x14ac:dyDescent="0.35">
      <c r="A15" s="9" t="s">
        <v>118</v>
      </c>
      <c r="B15" s="9" t="s">
        <v>119</v>
      </c>
      <c r="C15" s="9" t="s">
        <v>120</v>
      </c>
      <c r="D15" s="10" t="s">
        <v>114</v>
      </c>
      <c r="E15" s="11" t="s">
        <v>114</v>
      </c>
      <c r="F15" s="10" t="s">
        <v>114</v>
      </c>
      <c r="G15" s="9" t="s">
        <v>121</v>
      </c>
      <c r="H15" s="9" t="s">
        <v>83</v>
      </c>
      <c r="I15" s="9" t="s">
        <v>114</v>
      </c>
      <c r="J15" s="9" t="s">
        <v>114</v>
      </c>
      <c r="K15" s="9" t="s">
        <v>114</v>
      </c>
      <c r="L15" s="9" t="s">
        <v>114</v>
      </c>
      <c r="M15" s="9" t="s">
        <v>77</v>
      </c>
      <c r="N15" s="9"/>
      <c r="O15" s="9" t="s">
        <v>78</v>
      </c>
      <c r="P15" s="9" t="s">
        <v>79</v>
      </c>
    </row>
    <row r="16" spans="1:16" ht="15.75" customHeight="1" x14ac:dyDescent="0.35">
      <c r="A16" s="9"/>
      <c r="B16" s="9"/>
      <c r="C16" s="9"/>
      <c r="D16" s="9"/>
      <c r="E16" s="13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ht="15.75" customHeight="1" x14ac:dyDescent="0.35">
      <c r="A17" s="9"/>
      <c r="B17" s="9"/>
      <c r="C17" s="9"/>
      <c r="D17" s="9"/>
      <c r="E17" s="13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ht="15.75" customHeight="1" x14ac:dyDescent="0.35">
      <c r="A18" s="9"/>
      <c r="B18" s="9"/>
      <c r="C18" s="9"/>
      <c r="D18" s="9"/>
      <c r="E18" s="13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ht="15.75" customHeight="1" x14ac:dyDescent="0.35">
      <c r="A19" s="9"/>
      <c r="B19" s="9"/>
      <c r="C19" s="9"/>
      <c r="D19" s="9"/>
      <c r="E19" s="13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 ht="15.75" customHeight="1" x14ac:dyDescent="0.35">
      <c r="A20" s="9"/>
      <c r="B20" s="9"/>
      <c r="C20" s="9"/>
      <c r="D20" s="9"/>
      <c r="E20" s="13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1:16" ht="15.75" customHeight="1" x14ac:dyDescent="0.35">
      <c r="A21" s="9"/>
      <c r="B21" s="9"/>
      <c r="C21" s="9"/>
      <c r="D21" s="9"/>
      <c r="E21" s="13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spans="1:16" ht="15.75" customHeight="1" x14ac:dyDescent="0.35">
      <c r="A22" s="9"/>
      <c r="B22" s="9"/>
      <c r="C22" s="9"/>
      <c r="D22" s="9"/>
      <c r="E22" s="13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spans="1:16" ht="15.75" customHeight="1" x14ac:dyDescent="0.35">
      <c r="A23" s="9"/>
      <c r="B23" s="9"/>
      <c r="C23" s="9"/>
      <c r="D23" s="9"/>
      <c r="E23" s="13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spans="1:16" ht="15.75" customHeight="1" x14ac:dyDescent="0.35">
      <c r="A24" s="9"/>
      <c r="B24" s="9"/>
      <c r="C24" s="9"/>
      <c r="D24" s="9"/>
      <c r="E24" s="13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1:16" ht="15.75" customHeight="1" x14ac:dyDescent="0.35">
      <c r="A25" s="9"/>
      <c r="B25" s="9"/>
      <c r="C25" s="9"/>
      <c r="D25" s="9"/>
      <c r="E25" s="13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4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D11" sqref="D11"/>
    </sheetView>
  </sheetViews>
  <sheetFormatPr defaultColWidth="8.6328125" defaultRowHeight="14.5" x14ac:dyDescent="0.35"/>
  <cols>
    <col min="1" max="1" width="14" customWidth="1"/>
    <col min="2" max="2" width="13" customWidth="1"/>
    <col min="3" max="3" width="34" customWidth="1"/>
    <col min="4" max="4" width="9" customWidth="1"/>
    <col min="5" max="5" width="13" customWidth="1"/>
    <col min="6" max="6" width="24" customWidth="1"/>
    <col min="7" max="7" width="14" customWidth="1"/>
    <col min="8" max="8" width="10" customWidth="1"/>
    <col min="9" max="14" width="13" customWidth="1"/>
    <col min="15" max="15" width="15" customWidth="1"/>
    <col min="16" max="16" width="26" customWidth="1"/>
    <col min="17" max="17" width="11" customWidth="1"/>
    <col min="18" max="18" width="21.6328125" customWidth="1"/>
    <col min="19" max="21" width="20" customWidth="1"/>
    <col min="22" max="22" width="14" customWidth="1"/>
    <col min="23" max="23" width="24" customWidth="1"/>
    <col min="24" max="24" width="28" customWidth="1"/>
  </cols>
  <sheetData>
    <row r="1" spans="1:24" ht="18" customHeight="1" x14ac:dyDescent="0.4">
      <c r="A1" s="2" t="s">
        <v>122</v>
      </c>
    </row>
    <row r="2" spans="1:24" ht="14.25" customHeight="1" x14ac:dyDescent="0.35">
      <c r="A2" s="3" t="s">
        <v>123</v>
      </c>
    </row>
    <row r="4" spans="1:24" ht="31.5" customHeight="1" x14ac:dyDescent="0.35">
      <c r="A4" s="8" t="s">
        <v>124</v>
      </c>
      <c r="B4" s="8" t="s">
        <v>125</v>
      </c>
      <c r="C4" s="8" t="s">
        <v>126</v>
      </c>
      <c r="D4" s="8" t="s">
        <v>127</v>
      </c>
      <c r="E4" s="8" t="s">
        <v>128</v>
      </c>
      <c r="F4" s="8" t="s">
        <v>129</v>
      </c>
      <c r="G4" s="8" t="s">
        <v>130</v>
      </c>
      <c r="H4" s="8" t="s">
        <v>131</v>
      </c>
      <c r="I4" s="8" t="s">
        <v>132</v>
      </c>
      <c r="J4" s="8" t="s">
        <v>133</v>
      </c>
      <c r="K4" s="8" t="s">
        <v>134</v>
      </c>
      <c r="L4" s="8" t="s">
        <v>135</v>
      </c>
      <c r="M4" s="8" t="s">
        <v>136</v>
      </c>
      <c r="N4" s="8" t="s">
        <v>137</v>
      </c>
      <c r="O4" s="8" t="s">
        <v>138</v>
      </c>
      <c r="P4" s="8" t="s">
        <v>139</v>
      </c>
      <c r="Q4" s="8" t="s">
        <v>140</v>
      </c>
      <c r="R4" s="8" t="s">
        <v>141</v>
      </c>
      <c r="S4" s="8" t="s">
        <v>142</v>
      </c>
      <c r="T4" s="8" t="s">
        <v>143</v>
      </c>
      <c r="U4" s="8" t="s">
        <v>144</v>
      </c>
      <c r="V4" s="8" t="s">
        <v>145</v>
      </c>
      <c r="W4" s="8" t="s">
        <v>146</v>
      </c>
      <c r="X4" s="8" t="s">
        <v>63</v>
      </c>
    </row>
    <row r="5" spans="1:24" ht="15.75" customHeight="1" x14ac:dyDescent="0.35">
      <c r="A5" s="9" t="s">
        <v>147</v>
      </c>
      <c r="B5" s="9" t="s">
        <v>88</v>
      </c>
      <c r="C5" s="9" t="s">
        <v>148</v>
      </c>
      <c r="D5" s="9" t="s">
        <v>149</v>
      </c>
      <c r="E5" s="9" t="s">
        <v>150</v>
      </c>
      <c r="F5" s="9" t="s">
        <v>151</v>
      </c>
      <c r="G5" s="9" t="s">
        <v>152</v>
      </c>
      <c r="H5" s="9" t="s">
        <v>71</v>
      </c>
      <c r="I5" s="14">
        <v>9000</v>
      </c>
      <c r="J5" s="14">
        <v>18000</v>
      </c>
      <c r="K5" s="14">
        <v>4500</v>
      </c>
      <c r="L5" s="13">
        <v>45853</v>
      </c>
      <c r="M5" s="13">
        <v>46582</v>
      </c>
      <c r="N5" s="15">
        <f t="shared" ref="N5:N44" ca="1" si="0">IFERROR(IF(M5="","",M5-TODAY()),"")</f>
        <v>348</v>
      </c>
      <c r="O5" s="15" t="str">
        <f t="shared" ref="O5:O44" ca="1" si="1">IFERROR(IF(M5="","",IF(M5-TODAY()&lt;0,"EXPIRED",IF(M5-TODAY()&lt;=90,"RENEW NOW",IF(M5-TODAY()&lt;=180,"Prepare","")))),"")</f>
        <v/>
      </c>
      <c r="P5" s="9" t="s">
        <v>153</v>
      </c>
      <c r="Q5" s="9" t="s">
        <v>154</v>
      </c>
      <c r="R5" s="14">
        <v>1296.58</v>
      </c>
      <c r="S5" s="13">
        <v>46538</v>
      </c>
      <c r="T5" s="13">
        <v>46265</v>
      </c>
      <c r="U5" s="9" t="s">
        <v>155</v>
      </c>
      <c r="V5" s="13">
        <v>46443</v>
      </c>
      <c r="W5" s="9" t="s">
        <v>156</v>
      </c>
      <c r="X5" s="9"/>
    </row>
    <row r="6" spans="1:24" ht="15.75" customHeight="1" x14ac:dyDescent="0.35">
      <c r="A6" s="9" t="s">
        <v>157</v>
      </c>
      <c r="B6" s="9" t="s">
        <v>88</v>
      </c>
      <c r="C6" s="9" t="s">
        <v>148</v>
      </c>
      <c r="D6" s="9" t="s">
        <v>158</v>
      </c>
      <c r="E6" s="9" t="s">
        <v>150</v>
      </c>
      <c r="F6" s="9" t="s">
        <v>159</v>
      </c>
      <c r="G6" s="9" t="s">
        <v>152</v>
      </c>
      <c r="H6" s="9" t="s">
        <v>71</v>
      </c>
      <c r="I6" s="14">
        <v>10000</v>
      </c>
      <c r="J6" s="14">
        <v>20000</v>
      </c>
      <c r="K6" s="14">
        <v>5000</v>
      </c>
      <c r="L6" s="13">
        <v>45901</v>
      </c>
      <c r="M6" s="13">
        <v>46630</v>
      </c>
      <c r="N6" s="15">
        <f t="shared" ca="1" si="0"/>
        <v>396</v>
      </c>
      <c r="O6" s="15" t="str">
        <f t="shared" ca="1" si="1"/>
        <v/>
      </c>
      <c r="P6" s="9" t="s">
        <v>160</v>
      </c>
      <c r="Q6" s="9" t="s">
        <v>154</v>
      </c>
      <c r="R6" s="14">
        <v>1296.58</v>
      </c>
      <c r="S6" s="13">
        <v>46538</v>
      </c>
      <c r="T6" s="13">
        <v>46265</v>
      </c>
      <c r="U6" s="9" t="s">
        <v>155</v>
      </c>
      <c r="V6" s="13">
        <v>46443</v>
      </c>
      <c r="W6" s="9" t="s">
        <v>156</v>
      </c>
      <c r="X6" s="9"/>
    </row>
    <row r="7" spans="1:24" ht="15.75" customHeight="1" x14ac:dyDescent="0.35">
      <c r="A7" s="9" t="s">
        <v>161</v>
      </c>
      <c r="B7" s="9" t="s">
        <v>88</v>
      </c>
      <c r="C7" s="9" t="s">
        <v>148</v>
      </c>
      <c r="D7" s="9" t="s">
        <v>162</v>
      </c>
      <c r="E7" s="9" t="s">
        <v>150</v>
      </c>
      <c r="F7" s="9" t="s">
        <v>163</v>
      </c>
      <c r="G7" s="9" t="s">
        <v>152</v>
      </c>
      <c r="H7" s="9" t="s">
        <v>71</v>
      </c>
      <c r="I7" s="14">
        <v>8750</v>
      </c>
      <c r="J7" s="14">
        <v>17500</v>
      </c>
      <c r="K7" s="14">
        <v>4375</v>
      </c>
      <c r="L7" s="13">
        <v>46235</v>
      </c>
      <c r="M7" s="13">
        <v>46965</v>
      </c>
      <c r="N7" s="15">
        <f t="shared" ca="1" si="0"/>
        <v>731</v>
      </c>
      <c r="O7" s="15" t="str">
        <f t="shared" ca="1" si="1"/>
        <v/>
      </c>
      <c r="P7" s="9" t="s">
        <v>153</v>
      </c>
      <c r="Q7" s="9" t="s">
        <v>154</v>
      </c>
      <c r="R7" s="14">
        <v>1296.58</v>
      </c>
      <c r="S7" s="13">
        <v>46538</v>
      </c>
      <c r="T7" s="13">
        <v>46265</v>
      </c>
      <c r="U7" s="9" t="s">
        <v>155</v>
      </c>
      <c r="V7" s="13">
        <v>46443</v>
      </c>
      <c r="W7" s="9" t="s">
        <v>156</v>
      </c>
      <c r="X7" s="9"/>
    </row>
    <row r="8" spans="1:24" ht="15.75" customHeight="1" x14ac:dyDescent="0.35">
      <c r="A8" s="9" t="s">
        <v>164</v>
      </c>
      <c r="B8" s="9" t="s">
        <v>88</v>
      </c>
      <c r="C8" s="9" t="s">
        <v>148</v>
      </c>
      <c r="D8" s="9" t="s">
        <v>165</v>
      </c>
      <c r="E8" s="9" t="s">
        <v>150</v>
      </c>
      <c r="F8" s="9" t="s">
        <v>166</v>
      </c>
      <c r="G8" s="9" t="s">
        <v>152</v>
      </c>
      <c r="H8" s="9" t="s">
        <v>71</v>
      </c>
      <c r="I8" s="14">
        <v>8500</v>
      </c>
      <c r="J8" s="14">
        <v>17000</v>
      </c>
      <c r="K8" s="14">
        <v>4250</v>
      </c>
      <c r="L8" s="13">
        <v>46037</v>
      </c>
      <c r="M8" s="13">
        <v>46766</v>
      </c>
      <c r="N8" s="15">
        <f t="shared" ca="1" si="0"/>
        <v>532</v>
      </c>
      <c r="O8" s="15" t="str">
        <f t="shared" ca="1" si="1"/>
        <v/>
      </c>
      <c r="P8" s="9" t="s">
        <v>167</v>
      </c>
      <c r="Q8" s="9" t="s">
        <v>154</v>
      </c>
      <c r="R8" s="14">
        <v>968.82</v>
      </c>
      <c r="S8" s="13">
        <v>46538</v>
      </c>
      <c r="T8" s="13">
        <v>46265</v>
      </c>
      <c r="U8" s="9" t="s">
        <v>155</v>
      </c>
      <c r="V8" s="13">
        <v>46443</v>
      </c>
      <c r="W8" s="9" t="s">
        <v>156</v>
      </c>
      <c r="X8" s="9"/>
    </row>
    <row r="9" spans="1:24" ht="15.75" customHeight="1" x14ac:dyDescent="0.35">
      <c r="A9" s="9" t="s">
        <v>706</v>
      </c>
      <c r="B9" s="9" t="s">
        <v>112</v>
      </c>
      <c r="C9" s="9" t="s">
        <v>168</v>
      </c>
      <c r="D9" s="9">
        <v>27</v>
      </c>
      <c r="E9" s="9" t="s">
        <v>150</v>
      </c>
      <c r="F9" s="9" t="s">
        <v>169</v>
      </c>
      <c r="G9" s="9" t="s">
        <v>152</v>
      </c>
      <c r="H9" s="9" t="s">
        <v>92</v>
      </c>
      <c r="I9" s="14">
        <v>25000</v>
      </c>
      <c r="J9" s="14">
        <v>50000</v>
      </c>
      <c r="K9" s="14">
        <v>0</v>
      </c>
      <c r="L9" s="13">
        <v>46163</v>
      </c>
      <c r="M9" s="13">
        <v>46893</v>
      </c>
      <c r="N9" s="15">
        <f t="shared" ca="1" si="0"/>
        <v>659</v>
      </c>
      <c r="O9" s="15" t="str">
        <f t="shared" ca="1" si="1"/>
        <v/>
      </c>
      <c r="P9" s="9" t="s">
        <v>170</v>
      </c>
      <c r="Q9" s="9" t="s">
        <v>171</v>
      </c>
      <c r="R9" s="14" t="s">
        <v>172</v>
      </c>
      <c r="S9" s="13" t="s">
        <v>172</v>
      </c>
      <c r="T9" s="13" t="s">
        <v>172</v>
      </c>
      <c r="U9" s="9" t="s">
        <v>173</v>
      </c>
      <c r="V9" s="13"/>
      <c r="W9" s="9" t="s">
        <v>156</v>
      </c>
      <c r="X9" s="9"/>
    </row>
    <row r="10" spans="1:24" ht="15.75" customHeight="1" x14ac:dyDescent="0.35">
      <c r="A10" s="9" t="s">
        <v>174</v>
      </c>
      <c r="B10" s="9" t="s">
        <v>112</v>
      </c>
      <c r="C10" s="9" t="s">
        <v>175</v>
      </c>
      <c r="D10" s="9">
        <v>28</v>
      </c>
      <c r="E10" s="9" t="s">
        <v>150</v>
      </c>
      <c r="F10" s="9" t="s">
        <v>176</v>
      </c>
      <c r="G10" s="9" t="s">
        <v>152</v>
      </c>
      <c r="H10" s="9" t="s">
        <v>92</v>
      </c>
      <c r="I10" s="14">
        <v>41000</v>
      </c>
      <c r="J10" s="14">
        <v>82000</v>
      </c>
      <c r="K10" s="14">
        <v>0</v>
      </c>
      <c r="L10" s="13">
        <v>45611</v>
      </c>
      <c r="M10" s="13">
        <v>46340</v>
      </c>
      <c r="N10" s="15">
        <f t="shared" ca="1" si="0"/>
        <v>106</v>
      </c>
      <c r="O10" s="15" t="str">
        <f t="shared" ca="1" si="1"/>
        <v>Prepare</v>
      </c>
      <c r="P10" s="9" t="s">
        <v>170</v>
      </c>
      <c r="Q10" s="9"/>
      <c r="R10" s="14"/>
      <c r="S10" s="13"/>
      <c r="T10" s="13"/>
      <c r="U10" s="9"/>
      <c r="V10" s="13"/>
      <c r="W10" s="9"/>
      <c r="X10" s="9"/>
    </row>
    <row r="11" spans="1:24" ht="15.75" customHeight="1" x14ac:dyDescent="0.35">
      <c r="A11" s="9"/>
      <c r="B11" s="9"/>
      <c r="C11" s="9"/>
      <c r="D11" s="9"/>
      <c r="E11" s="9"/>
      <c r="F11" s="9"/>
      <c r="G11" s="9"/>
      <c r="H11" s="9"/>
      <c r="I11" s="14"/>
      <c r="J11" s="14"/>
      <c r="K11" s="14"/>
      <c r="L11" s="13"/>
      <c r="M11" s="13"/>
      <c r="N11" s="15" t="str">
        <f t="shared" ca="1" si="0"/>
        <v/>
      </c>
      <c r="O11" s="15" t="str">
        <f t="shared" ca="1" si="1"/>
        <v/>
      </c>
      <c r="P11" s="9"/>
      <c r="Q11" s="9"/>
      <c r="R11" s="14"/>
      <c r="S11" s="13"/>
      <c r="T11" s="13"/>
      <c r="U11" s="9"/>
      <c r="V11" s="13"/>
      <c r="W11" s="9"/>
      <c r="X11" s="9"/>
    </row>
    <row r="12" spans="1:24" ht="15.75" customHeight="1" x14ac:dyDescent="0.35">
      <c r="A12" s="9"/>
      <c r="B12" s="9"/>
      <c r="C12" s="9"/>
      <c r="D12" s="9"/>
      <c r="E12" s="9"/>
      <c r="F12" s="9"/>
      <c r="G12" s="9"/>
      <c r="H12" s="9"/>
      <c r="I12" s="14"/>
      <c r="J12" s="14"/>
      <c r="K12" s="14"/>
      <c r="L12" s="13"/>
      <c r="M12" s="13"/>
      <c r="N12" s="15" t="str">
        <f t="shared" ca="1" si="0"/>
        <v/>
      </c>
      <c r="O12" s="15" t="str">
        <f t="shared" ca="1" si="1"/>
        <v/>
      </c>
      <c r="P12" s="9"/>
      <c r="Q12" s="9"/>
      <c r="R12" s="14"/>
      <c r="S12" s="13"/>
      <c r="T12" s="13"/>
      <c r="U12" s="9"/>
      <c r="V12" s="13"/>
      <c r="W12" s="9"/>
      <c r="X12" s="9"/>
    </row>
    <row r="13" spans="1:24" ht="15.75" customHeight="1" x14ac:dyDescent="0.35">
      <c r="A13" s="9"/>
      <c r="B13" s="9"/>
      <c r="C13" s="9"/>
      <c r="D13" s="9"/>
      <c r="E13" s="9"/>
      <c r="F13" s="9"/>
      <c r="G13" s="9"/>
      <c r="H13" s="9"/>
      <c r="I13" s="14"/>
      <c r="J13" s="14"/>
      <c r="K13" s="14"/>
      <c r="L13" s="13"/>
      <c r="M13" s="13"/>
      <c r="N13" s="15" t="str">
        <f t="shared" ca="1" si="0"/>
        <v/>
      </c>
      <c r="O13" s="15" t="str">
        <f t="shared" ca="1" si="1"/>
        <v/>
      </c>
      <c r="P13" s="9"/>
      <c r="Q13" s="9"/>
      <c r="R13" s="14"/>
      <c r="S13" s="13"/>
      <c r="T13" s="13"/>
      <c r="U13" s="9"/>
      <c r="V13" s="13"/>
      <c r="W13" s="9"/>
      <c r="X13" s="9"/>
    </row>
    <row r="14" spans="1:24" ht="15.75" customHeight="1" x14ac:dyDescent="0.35">
      <c r="A14" s="9"/>
      <c r="B14" s="9"/>
      <c r="C14" s="9"/>
      <c r="D14" s="9"/>
      <c r="E14" s="9"/>
      <c r="F14" s="9"/>
      <c r="G14" s="9"/>
      <c r="H14" s="9"/>
      <c r="I14" s="14"/>
      <c r="J14" s="14"/>
      <c r="K14" s="14"/>
      <c r="L14" s="13"/>
      <c r="M14" s="13"/>
      <c r="N14" s="15" t="str">
        <f t="shared" ca="1" si="0"/>
        <v/>
      </c>
      <c r="O14" s="15" t="str">
        <f t="shared" ca="1" si="1"/>
        <v/>
      </c>
      <c r="P14" s="9"/>
      <c r="Q14" s="9"/>
      <c r="R14" s="14"/>
      <c r="S14" s="13"/>
      <c r="T14" s="13"/>
      <c r="U14" s="9"/>
      <c r="V14" s="13"/>
      <c r="W14" s="9"/>
      <c r="X14" s="9"/>
    </row>
    <row r="15" spans="1:24" ht="15.75" customHeight="1" x14ac:dyDescent="0.35">
      <c r="A15" s="9"/>
      <c r="B15" s="9"/>
      <c r="C15" s="9"/>
      <c r="D15" s="9"/>
      <c r="E15" s="9"/>
      <c r="F15" s="9"/>
      <c r="G15" s="9"/>
      <c r="H15" s="9"/>
      <c r="I15" s="14"/>
      <c r="J15" s="14"/>
      <c r="K15" s="14"/>
      <c r="L15" s="13"/>
      <c r="M15" s="13"/>
      <c r="N15" s="15" t="str">
        <f t="shared" ca="1" si="0"/>
        <v/>
      </c>
      <c r="O15" s="15" t="str">
        <f t="shared" ca="1" si="1"/>
        <v/>
      </c>
      <c r="P15" s="9"/>
      <c r="Q15" s="9"/>
      <c r="R15" s="14"/>
      <c r="S15" s="13"/>
      <c r="T15" s="13"/>
      <c r="U15" s="9"/>
      <c r="V15" s="13"/>
      <c r="W15" s="9"/>
      <c r="X15" s="9"/>
    </row>
    <row r="16" spans="1:24" ht="15.75" customHeight="1" x14ac:dyDescent="0.35">
      <c r="A16" s="9"/>
      <c r="B16" s="9"/>
      <c r="C16" s="9"/>
      <c r="D16" s="9"/>
      <c r="E16" s="9"/>
      <c r="F16" s="9"/>
      <c r="G16" s="9"/>
      <c r="H16" s="9"/>
      <c r="I16" s="14"/>
      <c r="J16" s="14"/>
      <c r="K16" s="14"/>
      <c r="L16" s="13"/>
      <c r="M16" s="13"/>
      <c r="N16" s="15" t="str">
        <f t="shared" ca="1" si="0"/>
        <v/>
      </c>
      <c r="O16" s="15" t="str">
        <f t="shared" ca="1" si="1"/>
        <v/>
      </c>
      <c r="P16" s="9"/>
      <c r="Q16" s="9"/>
      <c r="R16" s="14"/>
      <c r="S16" s="13"/>
      <c r="T16" s="13"/>
      <c r="U16" s="9"/>
      <c r="V16" s="13"/>
      <c r="W16" s="9"/>
      <c r="X16" s="9"/>
    </row>
    <row r="17" spans="1:24" ht="15.75" customHeight="1" x14ac:dyDescent="0.35">
      <c r="A17" s="9"/>
      <c r="B17" s="9"/>
      <c r="C17" s="9"/>
      <c r="D17" s="9"/>
      <c r="E17" s="9"/>
      <c r="F17" s="9"/>
      <c r="G17" s="9"/>
      <c r="H17" s="9"/>
      <c r="I17" s="14"/>
      <c r="J17" s="14"/>
      <c r="K17" s="14"/>
      <c r="L17" s="13"/>
      <c r="M17" s="13"/>
      <c r="N17" s="15" t="str">
        <f t="shared" ca="1" si="0"/>
        <v/>
      </c>
      <c r="O17" s="15" t="str">
        <f t="shared" ca="1" si="1"/>
        <v/>
      </c>
      <c r="P17" s="9"/>
      <c r="Q17" s="9"/>
      <c r="R17" s="14"/>
      <c r="S17" s="13"/>
      <c r="T17" s="13"/>
      <c r="U17" s="9"/>
      <c r="V17" s="13"/>
      <c r="W17" s="9"/>
      <c r="X17" s="9"/>
    </row>
    <row r="18" spans="1:24" ht="15.75" customHeight="1" x14ac:dyDescent="0.35">
      <c r="A18" s="9"/>
      <c r="B18" s="9"/>
      <c r="C18" s="9"/>
      <c r="D18" s="9"/>
      <c r="E18" s="9"/>
      <c r="F18" s="9"/>
      <c r="G18" s="9"/>
      <c r="H18" s="9"/>
      <c r="I18" s="14"/>
      <c r="J18" s="14"/>
      <c r="K18" s="14"/>
      <c r="L18" s="13"/>
      <c r="M18" s="13"/>
      <c r="N18" s="15" t="str">
        <f t="shared" ca="1" si="0"/>
        <v/>
      </c>
      <c r="O18" s="15" t="str">
        <f t="shared" ca="1" si="1"/>
        <v/>
      </c>
      <c r="P18" s="9"/>
      <c r="Q18" s="9"/>
      <c r="R18" s="14"/>
      <c r="S18" s="13"/>
      <c r="T18" s="13"/>
      <c r="U18" s="9"/>
      <c r="V18" s="13"/>
      <c r="W18" s="9"/>
      <c r="X18" s="9"/>
    </row>
    <row r="19" spans="1:24" ht="15.75" customHeight="1" x14ac:dyDescent="0.35">
      <c r="A19" s="9"/>
      <c r="B19" s="9"/>
      <c r="C19" s="9"/>
      <c r="D19" s="9"/>
      <c r="E19" s="9"/>
      <c r="F19" s="9"/>
      <c r="G19" s="9"/>
      <c r="H19" s="9"/>
      <c r="I19" s="14"/>
      <c r="J19" s="14"/>
      <c r="K19" s="14"/>
      <c r="L19" s="13"/>
      <c r="M19" s="13"/>
      <c r="N19" s="15" t="str">
        <f t="shared" ca="1" si="0"/>
        <v/>
      </c>
      <c r="O19" s="15" t="str">
        <f t="shared" ca="1" si="1"/>
        <v/>
      </c>
      <c r="P19" s="9"/>
      <c r="Q19" s="9"/>
      <c r="R19" s="14"/>
      <c r="S19" s="13"/>
      <c r="T19" s="13"/>
      <c r="U19" s="9"/>
      <c r="V19" s="13"/>
      <c r="W19" s="9"/>
      <c r="X19" s="9"/>
    </row>
    <row r="20" spans="1:24" ht="15.75" customHeight="1" x14ac:dyDescent="0.35">
      <c r="A20" s="9"/>
      <c r="B20" s="9"/>
      <c r="C20" s="9"/>
      <c r="D20" s="9"/>
      <c r="E20" s="9"/>
      <c r="F20" s="9"/>
      <c r="G20" s="9"/>
      <c r="H20" s="9"/>
      <c r="I20" s="14"/>
      <c r="J20" s="14"/>
      <c r="K20" s="14"/>
      <c r="L20" s="13"/>
      <c r="M20" s="13"/>
      <c r="N20" s="15" t="str">
        <f t="shared" ca="1" si="0"/>
        <v/>
      </c>
      <c r="O20" s="15" t="str">
        <f t="shared" ca="1" si="1"/>
        <v/>
      </c>
      <c r="P20" s="9"/>
      <c r="Q20" s="9"/>
      <c r="R20" s="14"/>
      <c r="S20" s="13"/>
      <c r="T20" s="13"/>
      <c r="U20" s="9"/>
      <c r="V20" s="13"/>
      <c r="W20" s="9"/>
      <c r="X20" s="9"/>
    </row>
    <row r="21" spans="1:24" ht="15.75" customHeight="1" x14ac:dyDescent="0.35">
      <c r="A21" s="9"/>
      <c r="B21" s="9"/>
      <c r="C21" s="9"/>
      <c r="D21" s="9"/>
      <c r="E21" s="9"/>
      <c r="F21" s="9"/>
      <c r="G21" s="9"/>
      <c r="H21" s="9"/>
      <c r="I21" s="14"/>
      <c r="J21" s="14"/>
      <c r="K21" s="14"/>
      <c r="L21" s="13"/>
      <c r="M21" s="13"/>
      <c r="N21" s="15" t="str">
        <f t="shared" ca="1" si="0"/>
        <v/>
      </c>
      <c r="O21" s="15" t="str">
        <f t="shared" ca="1" si="1"/>
        <v/>
      </c>
      <c r="P21" s="9"/>
      <c r="Q21" s="9"/>
      <c r="R21" s="14"/>
      <c r="S21" s="13"/>
      <c r="T21" s="13"/>
      <c r="U21" s="9"/>
      <c r="V21" s="13"/>
      <c r="W21" s="9"/>
      <c r="X21" s="9"/>
    </row>
    <row r="22" spans="1:24" ht="15.75" customHeight="1" x14ac:dyDescent="0.35">
      <c r="A22" s="9"/>
      <c r="B22" s="9"/>
      <c r="C22" s="9"/>
      <c r="D22" s="9"/>
      <c r="E22" s="9"/>
      <c r="F22" s="9"/>
      <c r="G22" s="9"/>
      <c r="H22" s="9"/>
      <c r="I22" s="14"/>
      <c r="J22" s="14"/>
      <c r="K22" s="14"/>
      <c r="L22" s="13"/>
      <c r="M22" s="13"/>
      <c r="N22" s="15" t="str">
        <f t="shared" ca="1" si="0"/>
        <v/>
      </c>
      <c r="O22" s="15" t="str">
        <f t="shared" ca="1" si="1"/>
        <v/>
      </c>
      <c r="P22" s="9"/>
      <c r="Q22" s="9"/>
      <c r="R22" s="14"/>
      <c r="S22" s="13"/>
      <c r="T22" s="13"/>
      <c r="U22" s="9"/>
      <c r="V22" s="13"/>
      <c r="W22" s="9"/>
      <c r="X22" s="9"/>
    </row>
    <row r="23" spans="1:24" ht="15.75" customHeight="1" x14ac:dyDescent="0.35">
      <c r="A23" s="9"/>
      <c r="B23" s="9"/>
      <c r="C23" s="9"/>
      <c r="D23" s="9"/>
      <c r="E23" s="9"/>
      <c r="F23" s="9"/>
      <c r="G23" s="9"/>
      <c r="H23" s="9"/>
      <c r="I23" s="14"/>
      <c r="J23" s="14"/>
      <c r="K23" s="14"/>
      <c r="L23" s="13"/>
      <c r="M23" s="13"/>
      <c r="N23" s="15" t="str">
        <f t="shared" ca="1" si="0"/>
        <v/>
      </c>
      <c r="O23" s="15" t="str">
        <f t="shared" ca="1" si="1"/>
        <v/>
      </c>
      <c r="P23" s="9"/>
      <c r="Q23" s="9"/>
      <c r="R23" s="14"/>
      <c r="S23" s="13"/>
      <c r="T23" s="13"/>
      <c r="U23" s="9"/>
      <c r="V23" s="13"/>
      <c r="W23" s="9"/>
      <c r="X23" s="9"/>
    </row>
    <row r="24" spans="1:24" ht="15.75" customHeight="1" x14ac:dyDescent="0.35">
      <c r="A24" s="9"/>
      <c r="B24" s="9"/>
      <c r="C24" s="9"/>
      <c r="D24" s="9"/>
      <c r="E24" s="9"/>
      <c r="F24" s="9"/>
      <c r="G24" s="9"/>
      <c r="H24" s="9"/>
      <c r="I24" s="14"/>
      <c r="J24" s="14"/>
      <c r="K24" s="14"/>
      <c r="L24" s="13"/>
      <c r="M24" s="13"/>
      <c r="N24" s="15" t="str">
        <f t="shared" ca="1" si="0"/>
        <v/>
      </c>
      <c r="O24" s="15" t="str">
        <f t="shared" ca="1" si="1"/>
        <v/>
      </c>
      <c r="P24" s="9"/>
      <c r="Q24" s="9"/>
      <c r="R24" s="14"/>
      <c r="S24" s="13"/>
      <c r="T24" s="13"/>
      <c r="U24" s="9"/>
      <c r="V24" s="13"/>
      <c r="W24" s="9"/>
      <c r="X24" s="9"/>
    </row>
    <row r="25" spans="1:24" ht="15.75" customHeight="1" x14ac:dyDescent="0.35">
      <c r="A25" s="9"/>
      <c r="B25" s="9"/>
      <c r="C25" s="9"/>
      <c r="D25" s="9"/>
      <c r="E25" s="9"/>
      <c r="F25" s="9"/>
      <c r="G25" s="9"/>
      <c r="H25" s="9"/>
      <c r="I25" s="14"/>
      <c r="J25" s="14"/>
      <c r="K25" s="14"/>
      <c r="L25" s="13"/>
      <c r="M25" s="13"/>
      <c r="N25" s="15" t="str">
        <f t="shared" ca="1" si="0"/>
        <v/>
      </c>
      <c r="O25" s="15" t="str">
        <f t="shared" ca="1" si="1"/>
        <v/>
      </c>
      <c r="P25" s="9"/>
      <c r="Q25" s="9"/>
      <c r="R25" s="14"/>
      <c r="S25" s="13"/>
      <c r="T25" s="13"/>
      <c r="U25" s="9"/>
      <c r="V25" s="13"/>
      <c r="W25" s="9"/>
      <c r="X25" s="9"/>
    </row>
    <row r="26" spans="1:24" ht="15.75" customHeight="1" x14ac:dyDescent="0.35">
      <c r="A26" s="9"/>
      <c r="B26" s="9"/>
      <c r="C26" s="9"/>
      <c r="D26" s="9"/>
      <c r="E26" s="9"/>
      <c r="F26" s="9"/>
      <c r="G26" s="9"/>
      <c r="H26" s="9"/>
      <c r="I26" s="14"/>
      <c r="J26" s="14"/>
      <c r="K26" s="14"/>
      <c r="L26" s="13"/>
      <c r="M26" s="13"/>
      <c r="N26" s="15" t="str">
        <f t="shared" ca="1" si="0"/>
        <v/>
      </c>
      <c r="O26" s="15" t="str">
        <f t="shared" ca="1" si="1"/>
        <v/>
      </c>
      <c r="P26" s="9"/>
      <c r="Q26" s="9"/>
      <c r="R26" s="14"/>
      <c r="S26" s="13"/>
      <c r="T26" s="13"/>
      <c r="U26" s="9"/>
      <c r="V26" s="13"/>
      <c r="W26" s="9"/>
      <c r="X26" s="9"/>
    </row>
    <row r="27" spans="1:24" ht="15.75" customHeight="1" x14ac:dyDescent="0.35">
      <c r="A27" s="9"/>
      <c r="B27" s="9"/>
      <c r="C27" s="9"/>
      <c r="D27" s="9"/>
      <c r="E27" s="9"/>
      <c r="F27" s="9"/>
      <c r="G27" s="9"/>
      <c r="H27" s="9"/>
      <c r="I27" s="14"/>
      <c r="J27" s="14"/>
      <c r="K27" s="14"/>
      <c r="L27" s="13"/>
      <c r="M27" s="13"/>
      <c r="N27" s="15" t="str">
        <f t="shared" ca="1" si="0"/>
        <v/>
      </c>
      <c r="O27" s="15" t="str">
        <f t="shared" ca="1" si="1"/>
        <v/>
      </c>
      <c r="P27" s="9"/>
      <c r="Q27" s="9"/>
      <c r="R27" s="14"/>
      <c r="S27" s="13"/>
      <c r="T27" s="13"/>
      <c r="U27" s="9"/>
      <c r="V27" s="13"/>
      <c r="W27" s="9"/>
      <c r="X27" s="9"/>
    </row>
    <row r="28" spans="1:24" ht="15.75" customHeight="1" x14ac:dyDescent="0.35">
      <c r="A28" s="9"/>
      <c r="B28" s="9"/>
      <c r="C28" s="9"/>
      <c r="D28" s="9"/>
      <c r="E28" s="9"/>
      <c r="F28" s="9"/>
      <c r="G28" s="9"/>
      <c r="H28" s="9"/>
      <c r="I28" s="14"/>
      <c r="J28" s="14"/>
      <c r="K28" s="14"/>
      <c r="L28" s="13"/>
      <c r="M28" s="13"/>
      <c r="N28" s="15" t="str">
        <f t="shared" ca="1" si="0"/>
        <v/>
      </c>
      <c r="O28" s="15" t="str">
        <f t="shared" ca="1" si="1"/>
        <v/>
      </c>
      <c r="P28" s="9"/>
      <c r="Q28" s="9"/>
      <c r="R28" s="14"/>
      <c r="S28" s="13"/>
      <c r="T28" s="13"/>
      <c r="U28" s="9"/>
      <c r="V28" s="13"/>
      <c r="W28" s="9"/>
      <c r="X28" s="9"/>
    </row>
    <row r="29" spans="1:24" ht="15.75" customHeight="1" x14ac:dyDescent="0.35">
      <c r="A29" s="9"/>
      <c r="B29" s="9"/>
      <c r="C29" s="9"/>
      <c r="D29" s="9"/>
      <c r="E29" s="9"/>
      <c r="F29" s="9"/>
      <c r="G29" s="9"/>
      <c r="H29" s="9"/>
      <c r="I29" s="14"/>
      <c r="J29" s="14"/>
      <c r="K29" s="14"/>
      <c r="L29" s="13"/>
      <c r="M29" s="13"/>
      <c r="N29" s="15" t="str">
        <f t="shared" ca="1" si="0"/>
        <v/>
      </c>
      <c r="O29" s="15" t="str">
        <f t="shared" ca="1" si="1"/>
        <v/>
      </c>
      <c r="P29" s="9"/>
      <c r="Q29" s="9"/>
      <c r="R29" s="14"/>
      <c r="S29" s="13"/>
      <c r="T29" s="13"/>
      <c r="U29" s="9"/>
      <c r="V29" s="13"/>
      <c r="W29" s="9"/>
      <c r="X29" s="9"/>
    </row>
    <row r="30" spans="1:24" ht="15.75" customHeight="1" x14ac:dyDescent="0.35">
      <c r="A30" s="9"/>
      <c r="B30" s="9"/>
      <c r="C30" s="9"/>
      <c r="D30" s="9"/>
      <c r="E30" s="9"/>
      <c r="F30" s="9"/>
      <c r="G30" s="9"/>
      <c r="H30" s="9"/>
      <c r="I30" s="14"/>
      <c r="J30" s="14"/>
      <c r="K30" s="14"/>
      <c r="L30" s="13"/>
      <c r="M30" s="13"/>
      <c r="N30" s="15" t="str">
        <f t="shared" ca="1" si="0"/>
        <v/>
      </c>
      <c r="O30" s="15" t="str">
        <f t="shared" ca="1" si="1"/>
        <v/>
      </c>
      <c r="P30" s="9"/>
      <c r="Q30" s="9"/>
      <c r="R30" s="14"/>
      <c r="S30" s="13"/>
      <c r="T30" s="13"/>
      <c r="U30" s="9"/>
      <c r="V30" s="13"/>
      <c r="W30" s="9"/>
      <c r="X30" s="9"/>
    </row>
    <row r="31" spans="1:24" ht="15.75" customHeight="1" x14ac:dyDescent="0.35">
      <c r="A31" s="9"/>
      <c r="B31" s="9"/>
      <c r="C31" s="9"/>
      <c r="D31" s="9"/>
      <c r="E31" s="9"/>
      <c r="F31" s="9"/>
      <c r="G31" s="9"/>
      <c r="H31" s="9"/>
      <c r="I31" s="14"/>
      <c r="J31" s="14"/>
      <c r="K31" s="14"/>
      <c r="L31" s="13"/>
      <c r="M31" s="13"/>
      <c r="N31" s="15" t="str">
        <f t="shared" ca="1" si="0"/>
        <v/>
      </c>
      <c r="O31" s="15" t="str">
        <f t="shared" ca="1" si="1"/>
        <v/>
      </c>
      <c r="P31" s="9"/>
      <c r="Q31" s="9"/>
      <c r="R31" s="14"/>
      <c r="S31" s="13"/>
      <c r="T31" s="13"/>
      <c r="U31" s="9"/>
      <c r="V31" s="13"/>
      <c r="W31" s="9"/>
      <c r="X31" s="9"/>
    </row>
    <row r="32" spans="1:24" ht="15.75" customHeight="1" x14ac:dyDescent="0.35">
      <c r="A32" s="9"/>
      <c r="B32" s="9"/>
      <c r="C32" s="9"/>
      <c r="D32" s="9"/>
      <c r="E32" s="9"/>
      <c r="F32" s="9"/>
      <c r="G32" s="9"/>
      <c r="H32" s="9"/>
      <c r="I32" s="14"/>
      <c r="J32" s="14"/>
      <c r="K32" s="14"/>
      <c r="L32" s="13"/>
      <c r="M32" s="13"/>
      <c r="N32" s="15" t="str">
        <f t="shared" ca="1" si="0"/>
        <v/>
      </c>
      <c r="O32" s="15" t="str">
        <f t="shared" ca="1" si="1"/>
        <v/>
      </c>
      <c r="P32" s="9"/>
      <c r="Q32" s="9"/>
      <c r="R32" s="14"/>
      <c r="S32" s="13"/>
      <c r="T32" s="13"/>
      <c r="U32" s="9"/>
      <c r="V32" s="13"/>
      <c r="W32" s="9"/>
      <c r="X32" s="9"/>
    </row>
    <row r="33" spans="1:24" ht="15.75" customHeight="1" x14ac:dyDescent="0.35">
      <c r="A33" s="9"/>
      <c r="B33" s="9"/>
      <c r="C33" s="9"/>
      <c r="D33" s="9"/>
      <c r="E33" s="9"/>
      <c r="F33" s="9"/>
      <c r="G33" s="9"/>
      <c r="H33" s="9"/>
      <c r="I33" s="14"/>
      <c r="J33" s="14"/>
      <c r="K33" s="14"/>
      <c r="L33" s="13"/>
      <c r="M33" s="13"/>
      <c r="N33" s="15" t="str">
        <f t="shared" ca="1" si="0"/>
        <v/>
      </c>
      <c r="O33" s="15" t="str">
        <f t="shared" ca="1" si="1"/>
        <v/>
      </c>
      <c r="P33" s="9"/>
      <c r="Q33" s="9"/>
      <c r="R33" s="14"/>
      <c r="S33" s="13"/>
      <c r="T33" s="13"/>
      <c r="U33" s="9"/>
      <c r="V33" s="13"/>
      <c r="W33" s="9"/>
      <c r="X33" s="9"/>
    </row>
    <row r="34" spans="1:24" ht="15.75" customHeight="1" x14ac:dyDescent="0.35">
      <c r="A34" s="9"/>
      <c r="B34" s="9"/>
      <c r="C34" s="9"/>
      <c r="D34" s="9"/>
      <c r="E34" s="9"/>
      <c r="F34" s="9"/>
      <c r="G34" s="9"/>
      <c r="H34" s="9"/>
      <c r="I34" s="14"/>
      <c r="J34" s="14"/>
      <c r="K34" s="14"/>
      <c r="L34" s="13"/>
      <c r="M34" s="13"/>
      <c r="N34" s="15" t="str">
        <f t="shared" ca="1" si="0"/>
        <v/>
      </c>
      <c r="O34" s="15" t="str">
        <f t="shared" ca="1" si="1"/>
        <v/>
      </c>
      <c r="P34" s="9"/>
      <c r="Q34" s="9"/>
      <c r="R34" s="14"/>
      <c r="S34" s="13"/>
      <c r="T34" s="13"/>
      <c r="U34" s="9"/>
      <c r="V34" s="13"/>
      <c r="W34" s="9"/>
      <c r="X34" s="9"/>
    </row>
    <row r="35" spans="1:24" ht="15.75" customHeight="1" x14ac:dyDescent="0.35">
      <c r="A35" s="9"/>
      <c r="B35" s="9"/>
      <c r="C35" s="9"/>
      <c r="D35" s="9"/>
      <c r="E35" s="9"/>
      <c r="F35" s="9"/>
      <c r="G35" s="9"/>
      <c r="H35" s="9"/>
      <c r="I35" s="14"/>
      <c r="J35" s="14"/>
      <c r="K35" s="14"/>
      <c r="L35" s="13"/>
      <c r="M35" s="13"/>
      <c r="N35" s="15" t="str">
        <f t="shared" ca="1" si="0"/>
        <v/>
      </c>
      <c r="O35" s="15" t="str">
        <f t="shared" ca="1" si="1"/>
        <v/>
      </c>
      <c r="P35" s="9"/>
      <c r="Q35" s="9"/>
      <c r="R35" s="14"/>
      <c r="S35" s="13"/>
      <c r="T35" s="13"/>
      <c r="U35" s="9"/>
      <c r="V35" s="13"/>
      <c r="W35" s="9"/>
      <c r="X35" s="9"/>
    </row>
    <row r="36" spans="1:24" ht="15.75" customHeight="1" x14ac:dyDescent="0.35">
      <c r="A36" s="9"/>
      <c r="B36" s="9"/>
      <c r="C36" s="9"/>
      <c r="D36" s="9"/>
      <c r="E36" s="9"/>
      <c r="F36" s="9"/>
      <c r="G36" s="9"/>
      <c r="H36" s="9"/>
      <c r="I36" s="14"/>
      <c r="J36" s="14"/>
      <c r="K36" s="14"/>
      <c r="L36" s="13"/>
      <c r="M36" s="13"/>
      <c r="N36" s="15" t="str">
        <f t="shared" ca="1" si="0"/>
        <v/>
      </c>
      <c r="O36" s="15" t="str">
        <f t="shared" ca="1" si="1"/>
        <v/>
      </c>
      <c r="P36" s="9"/>
      <c r="Q36" s="9"/>
      <c r="R36" s="14"/>
      <c r="S36" s="13"/>
      <c r="T36" s="13"/>
      <c r="U36" s="9"/>
      <c r="V36" s="13"/>
      <c r="W36" s="9"/>
      <c r="X36" s="9"/>
    </row>
    <row r="37" spans="1:24" ht="15.75" customHeight="1" x14ac:dyDescent="0.35">
      <c r="A37" s="9"/>
      <c r="B37" s="9"/>
      <c r="C37" s="9"/>
      <c r="D37" s="9"/>
      <c r="E37" s="9"/>
      <c r="F37" s="9"/>
      <c r="G37" s="9"/>
      <c r="H37" s="9"/>
      <c r="I37" s="14"/>
      <c r="J37" s="14"/>
      <c r="K37" s="14"/>
      <c r="L37" s="13"/>
      <c r="M37" s="13"/>
      <c r="N37" s="15" t="str">
        <f t="shared" ca="1" si="0"/>
        <v/>
      </c>
      <c r="O37" s="15" t="str">
        <f t="shared" ca="1" si="1"/>
        <v/>
      </c>
      <c r="P37" s="9"/>
      <c r="Q37" s="9"/>
      <c r="R37" s="14"/>
      <c r="S37" s="13"/>
      <c r="T37" s="13"/>
      <c r="U37" s="9"/>
      <c r="V37" s="13"/>
      <c r="W37" s="9"/>
      <c r="X37" s="9"/>
    </row>
    <row r="38" spans="1:24" ht="15.75" customHeight="1" x14ac:dyDescent="0.35">
      <c r="A38" s="9"/>
      <c r="B38" s="9"/>
      <c r="C38" s="9"/>
      <c r="D38" s="9"/>
      <c r="E38" s="9"/>
      <c r="F38" s="9"/>
      <c r="G38" s="9"/>
      <c r="H38" s="9"/>
      <c r="I38" s="14"/>
      <c r="J38" s="14"/>
      <c r="K38" s="14"/>
      <c r="L38" s="13"/>
      <c r="M38" s="13"/>
      <c r="N38" s="15" t="str">
        <f t="shared" ca="1" si="0"/>
        <v/>
      </c>
      <c r="O38" s="15" t="str">
        <f t="shared" ca="1" si="1"/>
        <v/>
      </c>
      <c r="P38" s="9"/>
      <c r="Q38" s="9"/>
      <c r="R38" s="14"/>
      <c r="S38" s="13"/>
      <c r="T38" s="13"/>
      <c r="U38" s="9"/>
      <c r="V38" s="13"/>
      <c r="W38" s="9"/>
      <c r="X38" s="9"/>
    </row>
    <row r="39" spans="1:24" ht="15.75" customHeight="1" x14ac:dyDescent="0.35">
      <c r="A39" s="9"/>
      <c r="B39" s="9"/>
      <c r="C39" s="9"/>
      <c r="D39" s="9"/>
      <c r="E39" s="9"/>
      <c r="F39" s="9"/>
      <c r="G39" s="9"/>
      <c r="H39" s="9"/>
      <c r="I39" s="14"/>
      <c r="J39" s="14"/>
      <c r="K39" s="14"/>
      <c r="L39" s="13"/>
      <c r="M39" s="13"/>
      <c r="N39" s="15" t="str">
        <f t="shared" ca="1" si="0"/>
        <v/>
      </c>
      <c r="O39" s="15" t="str">
        <f t="shared" ca="1" si="1"/>
        <v/>
      </c>
      <c r="P39" s="9"/>
      <c r="Q39" s="9"/>
      <c r="R39" s="14"/>
      <c r="S39" s="13"/>
      <c r="T39" s="13"/>
      <c r="U39" s="9"/>
      <c r="V39" s="13"/>
      <c r="W39" s="9"/>
      <c r="X39" s="9"/>
    </row>
    <row r="40" spans="1:24" ht="15.75" customHeight="1" x14ac:dyDescent="0.35">
      <c r="A40" s="9"/>
      <c r="B40" s="9"/>
      <c r="C40" s="9"/>
      <c r="D40" s="9"/>
      <c r="E40" s="9"/>
      <c r="F40" s="9"/>
      <c r="G40" s="9"/>
      <c r="H40" s="9"/>
      <c r="I40" s="14"/>
      <c r="J40" s="14"/>
      <c r="K40" s="14"/>
      <c r="L40" s="13"/>
      <c r="M40" s="13"/>
      <c r="N40" s="15" t="str">
        <f t="shared" ca="1" si="0"/>
        <v/>
      </c>
      <c r="O40" s="15" t="str">
        <f t="shared" ca="1" si="1"/>
        <v/>
      </c>
      <c r="P40" s="9"/>
      <c r="Q40" s="9"/>
      <c r="R40" s="14"/>
      <c r="S40" s="13"/>
      <c r="T40" s="13"/>
      <c r="U40" s="9"/>
      <c r="V40" s="13"/>
      <c r="W40" s="9"/>
      <c r="X40" s="9"/>
    </row>
    <row r="41" spans="1:24" ht="15.75" customHeight="1" x14ac:dyDescent="0.35">
      <c r="A41" s="9"/>
      <c r="B41" s="9"/>
      <c r="C41" s="9"/>
      <c r="D41" s="9"/>
      <c r="E41" s="9"/>
      <c r="F41" s="9"/>
      <c r="G41" s="9"/>
      <c r="H41" s="9"/>
      <c r="I41" s="14"/>
      <c r="J41" s="14"/>
      <c r="K41" s="14"/>
      <c r="L41" s="13"/>
      <c r="M41" s="13"/>
      <c r="N41" s="15" t="str">
        <f t="shared" ca="1" si="0"/>
        <v/>
      </c>
      <c r="O41" s="15" t="str">
        <f t="shared" ca="1" si="1"/>
        <v/>
      </c>
      <c r="P41" s="9"/>
      <c r="Q41" s="9"/>
      <c r="R41" s="14"/>
      <c r="S41" s="13"/>
      <c r="T41" s="13"/>
      <c r="U41" s="9"/>
      <c r="V41" s="13"/>
      <c r="W41" s="9"/>
      <c r="X41" s="9"/>
    </row>
    <row r="42" spans="1:24" ht="15.75" customHeight="1" x14ac:dyDescent="0.35">
      <c r="A42" s="9"/>
      <c r="B42" s="9"/>
      <c r="C42" s="9"/>
      <c r="D42" s="9"/>
      <c r="E42" s="9"/>
      <c r="F42" s="9"/>
      <c r="G42" s="9"/>
      <c r="H42" s="9"/>
      <c r="I42" s="14"/>
      <c r="J42" s="14"/>
      <c r="K42" s="14"/>
      <c r="L42" s="13"/>
      <c r="M42" s="13"/>
      <c r="N42" s="15" t="str">
        <f t="shared" ca="1" si="0"/>
        <v/>
      </c>
      <c r="O42" s="15" t="str">
        <f t="shared" ca="1" si="1"/>
        <v/>
      </c>
      <c r="P42" s="9"/>
      <c r="Q42" s="9"/>
      <c r="R42" s="14"/>
      <c r="S42" s="13"/>
      <c r="T42" s="13"/>
      <c r="U42" s="9"/>
      <c r="V42" s="13"/>
      <c r="W42" s="9"/>
      <c r="X42" s="9"/>
    </row>
    <row r="43" spans="1:24" ht="15.75" customHeight="1" x14ac:dyDescent="0.35">
      <c r="A43" s="9"/>
      <c r="B43" s="9"/>
      <c r="C43" s="9"/>
      <c r="D43" s="9"/>
      <c r="E43" s="9"/>
      <c r="F43" s="9"/>
      <c r="G43" s="9"/>
      <c r="H43" s="9"/>
      <c r="I43" s="14"/>
      <c r="J43" s="14"/>
      <c r="K43" s="14"/>
      <c r="L43" s="13"/>
      <c r="M43" s="13"/>
      <c r="N43" s="15" t="str">
        <f t="shared" ca="1" si="0"/>
        <v/>
      </c>
      <c r="O43" s="15" t="str">
        <f t="shared" ca="1" si="1"/>
        <v/>
      </c>
      <c r="P43" s="9"/>
      <c r="Q43" s="9"/>
      <c r="R43" s="14"/>
      <c r="S43" s="13"/>
      <c r="T43" s="13"/>
      <c r="U43" s="9"/>
      <c r="V43" s="13"/>
      <c r="W43" s="9"/>
      <c r="X43" s="9"/>
    </row>
    <row r="44" spans="1:24" ht="15.75" customHeight="1" x14ac:dyDescent="0.35">
      <c r="A44" s="9"/>
      <c r="B44" s="9"/>
      <c r="C44" s="9"/>
      <c r="D44" s="9"/>
      <c r="E44" s="9"/>
      <c r="F44" s="9"/>
      <c r="G44" s="9"/>
      <c r="H44" s="9"/>
      <c r="I44" s="14"/>
      <c r="J44" s="14"/>
      <c r="K44" s="14"/>
      <c r="L44" s="13"/>
      <c r="M44" s="13"/>
      <c r="N44" s="15" t="str">
        <f t="shared" ca="1" si="0"/>
        <v/>
      </c>
      <c r="O44" s="15" t="str">
        <f t="shared" ca="1" si="1"/>
        <v/>
      </c>
      <c r="P44" s="9"/>
      <c r="Q44" s="9"/>
      <c r="R44" s="14"/>
      <c r="S44" s="13"/>
      <c r="T44" s="13"/>
      <c r="U44" s="9"/>
      <c r="V44" s="13"/>
      <c r="W44" s="9"/>
      <c r="X44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4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E9" sqref="E9"/>
    </sheetView>
  </sheetViews>
  <sheetFormatPr defaultColWidth="8.6328125" defaultRowHeight="14.5" x14ac:dyDescent="0.35"/>
  <cols>
    <col min="1" max="1" width="14" customWidth="1"/>
    <col min="2" max="2" width="15" customWidth="1"/>
    <col min="3" max="3" width="24" customWidth="1"/>
    <col min="4" max="4" width="22" customWidth="1"/>
    <col min="5" max="5" width="16" customWidth="1"/>
    <col min="6" max="6" width="15" customWidth="1"/>
    <col min="7" max="7" width="12" customWidth="1"/>
    <col min="8" max="8" width="13" customWidth="1"/>
    <col min="9" max="9" width="15" customWidth="1"/>
    <col min="10" max="10" width="12" customWidth="1"/>
    <col min="11" max="11" width="10" customWidth="1"/>
    <col min="12" max="12" width="13" customWidth="1"/>
    <col min="13" max="13" width="14" customWidth="1"/>
    <col min="14" max="14" width="22" customWidth="1"/>
    <col min="15" max="15" width="16" customWidth="1"/>
    <col min="16" max="16" width="18" customWidth="1"/>
    <col min="17" max="17" width="11" customWidth="1"/>
    <col min="18" max="18" width="26" customWidth="1"/>
  </cols>
  <sheetData>
    <row r="1" spans="1:18" ht="18" customHeight="1" x14ac:dyDescent="0.4">
      <c r="A1" s="2" t="s">
        <v>177</v>
      </c>
    </row>
    <row r="2" spans="1:18" ht="14.25" customHeight="1" x14ac:dyDescent="0.35">
      <c r="A2" s="16" t="s">
        <v>178</v>
      </c>
    </row>
    <row r="4" spans="1:18" ht="31.5" customHeight="1" x14ac:dyDescent="0.35">
      <c r="A4" s="8" t="s">
        <v>179</v>
      </c>
      <c r="B4" s="8" t="s">
        <v>180</v>
      </c>
      <c r="C4" s="8" t="s">
        <v>181</v>
      </c>
      <c r="D4" s="8" t="s">
        <v>182</v>
      </c>
      <c r="E4" s="8" t="s">
        <v>183</v>
      </c>
      <c r="F4" s="8" t="s">
        <v>184</v>
      </c>
      <c r="G4" s="8" t="s">
        <v>185</v>
      </c>
      <c r="H4" s="8" t="s">
        <v>186</v>
      </c>
      <c r="I4" s="8" t="s">
        <v>187</v>
      </c>
      <c r="J4" s="8" t="s">
        <v>188</v>
      </c>
      <c r="K4" s="8" t="s">
        <v>131</v>
      </c>
      <c r="L4" s="8" t="s">
        <v>189</v>
      </c>
      <c r="M4" s="8" t="s">
        <v>190</v>
      </c>
      <c r="N4" s="8" t="s">
        <v>191</v>
      </c>
      <c r="O4" s="8" t="s">
        <v>192</v>
      </c>
      <c r="P4" s="8" t="s">
        <v>193</v>
      </c>
      <c r="Q4" s="8" t="s">
        <v>62</v>
      </c>
      <c r="R4" s="8" t="s">
        <v>63</v>
      </c>
    </row>
    <row r="5" spans="1:18" ht="15.75" customHeight="1" x14ac:dyDescent="0.35">
      <c r="A5" s="9" t="s">
        <v>194</v>
      </c>
      <c r="B5" s="9" t="s">
        <v>66</v>
      </c>
      <c r="C5" s="9" t="s">
        <v>113</v>
      </c>
      <c r="D5" s="9" t="s">
        <v>195</v>
      </c>
      <c r="E5" s="9" t="s">
        <v>196</v>
      </c>
      <c r="F5" s="9" t="s">
        <v>197</v>
      </c>
      <c r="G5" s="13">
        <v>42856</v>
      </c>
      <c r="H5" s="13">
        <v>43069</v>
      </c>
      <c r="I5" s="15" t="str">
        <f t="shared" ref="I5:I34" ca="1" si="0">IFERROR(IF(H5="","",IF(H5-TODAY()&lt;0,"",IF(H5-TODAY()&lt;=30,"CONFIRM DUE",""))),"")</f>
        <v/>
      </c>
      <c r="J5" s="13" t="s">
        <v>114</v>
      </c>
      <c r="K5" s="9" t="s">
        <v>71</v>
      </c>
      <c r="L5" s="14">
        <v>5000</v>
      </c>
      <c r="M5" s="14">
        <v>300</v>
      </c>
      <c r="N5" s="9" t="s">
        <v>198</v>
      </c>
      <c r="O5" s="13">
        <v>46419</v>
      </c>
      <c r="P5" s="9" t="s">
        <v>199</v>
      </c>
      <c r="Q5" s="9" t="s">
        <v>77</v>
      </c>
      <c r="R5" s="9"/>
    </row>
    <row r="6" spans="1:18" ht="15.75" customHeight="1" x14ac:dyDescent="0.35">
      <c r="A6" s="9" t="s">
        <v>200</v>
      </c>
      <c r="B6" s="9" t="s">
        <v>66</v>
      </c>
      <c r="C6" s="9" t="s">
        <v>98</v>
      </c>
      <c r="D6" s="9" t="s">
        <v>201</v>
      </c>
      <c r="E6" s="9" t="s">
        <v>202</v>
      </c>
      <c r="F6" s="9" t="s">
        <v>197</v>
      </c>
      <c r="G6" s="13">
        <v>42856</v>
      </c>
      <c r="H6" s="13">
        <v>43069</v>
      </c>
      <c r="I6" s="15" t="str">
        <f t="shared" ca="1" si="0"/>
        <v/>
      </c>
      <c r="J6" s="13" t="s">
        <v>114</v>
      </c>
      <c r="K6" s="9" t="s">
        <v>71</v>
      </c>
      <c r="L6" s="14">
        <v>4800</v>
      </c>
      <c r="M6" s="14">
        <v>300</v>
      </c>
      <c r="N6" s="9" t="s">
        <v>203</v>
      </c>
      <c r="O6" s="13">
        <v>46419</v>
      </c>
      <c r="P6" s="9" t="s">
        <v>199</v>
      </c>
      <c r="Q6" s="9" t="s">
        <v>77</v>
      </c>
      <c r="R6" s="9"/>
    </row>
    <row r="7" spans="1:18" ht="15.75" customHeight="1" x14ac:dyDescent="0.35">
      <c r="A7" s="9" t="s">
        <v>204</v>
      </c>
      <c r="B7" s="9" t="s">
        <v>66</v>
      </c>
      <c r="C7" s="9" t="s">
        <v>205</v>
      </c>
      <c r="D7" s="9" t="s">
        <v>206</v>
      </c>
      <c r="E7" s="9" t="s">
        <v>207</v>
      </c>
      <c r="F7" s="9" t="s">
        <v>197</v>
      </c>
      <c r="G7" s="13">
        <v>42856</v>
      </c>
      <c r="H7" s="13">
        <v>43069</v>
      </c>
      <c r="I7" s="15" t="str">
        <f t="shared" ca="1" si="0"/>
        <v/>
      </c>
      <c r="J7" s="13" t="s">
        <v>114</v>
      </c>
      <c r="K7" s="9" t="s">
        <v>71</v>
      </c>
      <c r="L7" s="14">
        <v>6500</v>
      </c>
      <c r="M7" s="14">
        <v>300</v>
      </c>
      <c r="N7" s="9" t="s">
        <v>203</v>
      </c>
      <c r="O7" s="13">
        <v>46419</v>
      </c>
      <c r="P7" s="9" t="s">
        <v>199</v>
      </c>
      <c r="Q7" s="9" t="s">
        <v>77</v>
      </c>
      <c r="R7" s="9"/>
    </row>
    <row r="8" spans="1:18" ht="15.75" customHeight="1" x14ac:dyDescent="0.35">
      <c r="A8" s="9" t="s">
        <v>208</v>
      </c>
      <c r="B8" s="9" t="s">
        <v>88</v>
      </c>
      <c r="C8" s="9" t="s">
        <v>209</v>
      </c>
      <c r="D8" s="9" t="s">
        <v>210</v>
      </c>
      <c r="E8" s="9" t="s">
        <v>211</v>
      </c>
      <c r="F8" s="9" t="s">
        <v>197</v>
      </c>
      <c r="G8" s="13">
        <v>44197</v>
      </c>
      <c r="H8" s="13">
        <v>44377</v>
      </c>
      <c r="I8" s="15" t="str">
        <f t="shared" ca="1" si="0"/>
        <v/>
      </c>
      <c r="J8" s="13" t="s">
        <v>114</v>
      </c>
      <c r="K8" s="9" t="s">
        <v>71</v>
      </c>
      <c r="L8" s="14">
        <v>6200</v>
      </c>
      <c r="M8" s="14">
        <v>100</v>
      </c>
      <c r="N8" s="9" t="s">
        <v>198</v>
      </c>
      <c r="O8" s="13">
        <v>46419</v>
      </c>
      <c r="P8" s="9" t="s">
        <v>199</v>
      </c>
      <c r="Q8" s="9" t="s">
        <v>77</v>
      </c>
      <c r="R8" s="9"/>
    </row>
    <row r="9" spans="1:18" ht="15.75" customHeight="1" x14ac:dyDescent="0.35">
      <c r="A9" s="9"/>
      <c r="B9" s="9"/>
      <c r="C9" s="9"/>
      <c r="D9" s="9"/>
      <c r="E9" s="9"/>
      <c r="F9" s="9"/>
      <c r="G9" s="13"/>
      <c r="H9" s="13"/>
      <c r="I9" s="15" t="str">
        <f t="shared" ca="1" si="0"/>
        <v/>
      </c>
      <c r="J9" s="13"/>
      <c r="K9" s="9"/>
      <c r="L9" s="14"/>
      <c r="M9" s="14"/>
      <c r="N9" s="9"/>
      <c r="O9" s="13"/>
      <c r="P9" s="9"/>
      <c r="Q9" s="9"/>
      <c r="R9" s="9"/>
    </row>
    <row r="10" spans="1:18" ht="15.75" customHeight="1" x14ac:dyDescent="0.35">
      <c r="A10" s="9"/>
      <c r="B10" s="9"/>
      <c r="C10" s="9"/>
      <c r="D10" s="9"/>
      <c r="E10" s="9"/>
      <c r="F10" s="9"/>
      <c r="G10" s="13"/>
      <c r="H10" s="13"/>
      <c r="I10" s="15" t="str">
        <f t="shared" ca="1" si="0"/>
        <v/>
      </c>
      <c r="J10" s="13"/>
      <c r="K10" s="9"/>
      <c r="L10" s="14"/>
      <c r="M10" s="14"/>
      <c r="N10" s="9"/>
      <c r="O10" s="13"/>
      <c r="P10" s="9"/>
      <c r="Q10" s="9"/>
      <c r="R10" s="9"/>
    </row>
    <row r="11" spans="1:18" ht="15.75" customHeight="1" x14ac:dyDescent="0.35">
      <c r="A11" s="9"/>
      <c r="B11" s="9"/>
      <c r="C11" s="9"/>
      <c r="D11" s="9"/>
      <c r="E11" s="9"/>
      <c r="F11" s="9"/>
      <c r="G11" s="13"/>
      <c r="H11" s="13"/>
      <c r="I11" s="15" t="str">
        <f t="shared" ca="1" si="0"/>
        <v/>
      </c>
      <c r="J11" s="13"/>
      <c r="K11" s="9"/>
      <c r="L11" s="14"/>
      <c r="M11" s="14"/>
      <c r="N11" s="9"/>
      <c r="O11" s="13"/>
      <c r="P11" s="9"/>
      <c r="Q11" s="9"/>
      <c r="R11" s="9"/>
    </row>
    <row r="12" spans="1:18" ht="15.75" customHeight="1" x14ac:dyDescent="0.35">
      <c r="A12" s="9"/>
      <c r="B12" s="9"/>
      <c r="C12" s="9"/>
      <c r="D12" s="9"/>
      <c r="E12" s="9"/>
      <c r="F12" s="9"/>
      <c r="G12" s="13"/>
      <c r="H12" s="13"/>
      <c r="I12" s="15" t="str">
        <f t="shared" ca="1" si="0"/>
        <v/>
      </c>
      <c r="J12" s="13"/>
      <c r="K12" s="9"/>
      <c r="L12" s="14"/>
      <c r="M12" s="14"/>
      <c r="N12" s="9"/>
      <c r="O12" s="13"/>
      <c r="P12" s="9"/>
      <c r="Q12" s="9"/>
      <c r="R12" s="9"/>
    </row>
    <row r="13" spans="1:18" ht="15.75" customHeight="1" x14ac:dyDescent="0.35">
      <c r="A13" s="9"/>
      <c r="B13" s="9"/>
      <c r="C13" s="9"/>
      <c r="D13" s="9"/>
      <c r="E13" s="9"/>
      <c r="F13" s="9"/>
      <c r="G13" s="13"/>
      <c r="H13" s="13"/>
      <c r="I13" s="15" t="str">
        <f t="shared" ca="1" si="0"/>
        <v/>
      </c>
      <c r="J13" s="13"/>
      <c r="K13" s="9"/>
      <c r="L13" s="14"/>
      <c r="M13" s="14"/>
      <c r="N13" s="9"/>
      <c r="O13" s="13"/>
      <c r="P13" s="9"/>
      <c r="Q13" s="9"/>
      <c r="R13" s="9"/>
    </row>
    <row r="14" spans="1:18" ht="15.75" customHeight="1" x14ac:dyDescent="0.35">
      <c r="A14" s="9"/>
      <c r="B14" s="9"/>
      <c r="C14" s="9"/>
      <c r="D14" s="9"/>
      <c r="E14" s="9"/>
      <c r="F14" s="9"/>
      <c r="G14" s="13"/>
      <c r="H14" s="13"/>
      <c r="I14" s="15" t="str">
        <f t="shared" ca="1" si="0"/>
        <v/>
      </c>
      <c r="J14" s="13"/>
      <c r="K14" s="9"/>
      <c r="L14" s="14"/>
      <c r="M14" s="14"/>
      <c r="N14" s="9"/>
      <c r="O14" s="13"/>
      <c r="P14" s="9"/>
      <c r="Q14" s="9"/>
      <c r="R14" s="9"/>
    </row>
    <row r="15" spans="1:18" ht="15.75" customHeight="1" x14ac:dyDescent="0.35">
      <c r="A15" s="9"/>
      <c r="B15" s="9"/>
      <c r="C15" s="9"/>
      <c r="D15" s="9"/>
      <c r="E15" s="9"/>
      <c r="F15" s="9"/>
      <c r="G15" s="13"/>
      <c r="H15" s="13"/>
      <c r="I15" s="15" t="str">
        <f t="shared" ca="1" si="0"/>
        <v/>
      </c>
      <c r="J15" s="13"/>
      <c r="K15" s="9"/>
      <c r="L15" s="14"/>
      <c r="M15" s="14"/>
      <c r="N15" s="9"/>
      <c r="O15" s="13"/>
      <c r="P15" s="9"/>
      <c r="Q15" s="9"/>
      <c r="R15" s="9"/>
    </row>
    <row r="16" spans="1:18" ht="15.75" customHeight="1" x14ac:dyDescent="0.35">
      <c r="A16" s="9"/>
      <c r="B16" s="9"/>
      <c r="C16" s="9"/>
      <c r="D16" s="9"/>
      <c r="E16" s="9"/>
      <c r="F16" s="9"/>
      <c r="G16" s="13"/>
      <c r="H16" s="13"/>
      <c r="I16" s="15" t="str">
        <f t="shared" ca="1" si="0"/>
        <v/>
      </c>
      <c r="J16" s="13"/>
      <c r="K16" s="9"/>
      <c r="L16" s="14"/>
      <c r="M16" s="14"/>
      <c r="N16" s="9"/>
      <c r="O16" s="13"/>
      <c r="P16" s="9"/>
      <c r="Q16" s="9"/>
      <c r="R16" s="9"/>
    </row>
    <row r="17" spans="1:18" ht="15.75" customHeight="1" x14ac:dyDescent="0.35">
      <c r="A17" s="9"/>
      <c r="B17" s="9"/>
      <c r="C17" s="9"/>
      <c r="D17" s="9"/>
      <c r="E17" s="9"/>
      <c r="F17" s="9"/>
      <c r="G17" s="13"/>
      <c r="H17" s="13"/>
      <c r="I17" s="15" t="str">
        <f t="shared" ca="1" si="0"/>
        <v/>
      </c>
      <c r="J17" s="13"/>
      <c r="K17" s="9"/>
      <c r="L17" s="14"/>
      <c r="M17" s="14"/>
      <c r="N17" s="9"/>
      <c r="O17" s="13"/>
      <c r="P17" s="9"/>
      <c r="Q17" s="9"/>
      <c r="R17" s="9"/>
    </row>
    <row r="18" spans="1:18" ht="15.75" customHeight="1" x14ac:dyDescent="0.35">
      <c r="A18" s="9"/>
      <c r="B18" s="9"/>
      <c r="C18" s="9"/>
      <c r="D18" s="9"/>
      <c r="E18" s="9"/>
      <c r="F18" s="9"/>
      <c r="G18" s="13"/>
      <c r="H18" s="13"/>
      <c r="I18" s="15" t="str">
        <f t="shared" ca="1" si="0"/>
        <v/>
      </c>
      <c r="J18" s="13"/>
      <c r="K18" s="9"/>
      <c r="L18" s="14"/>
      <c r="M18" s="14"/>
      <c r="N18" s="9"/>
      <c r="O18" s="13"/>
      <c r="P18" s="9"/>
      <c r="Q18" s="9"/>
      <c r="R18" s="9"/>
    </row>
    <row r="19" spans="1:18" ht="15.75" customHeight="1" x14ac:dyDescent="0.35">
      <c r="A19" s="9"/>
      <c r="B19" s="9"/>
      <c r="C19" s="9"/>
      <c r="D19" s="9"/>
      <c r="E19" s="9"/>
      <c r="F19" s="9"/>
      <c r="G19" s="13"/>
      <c r="H19" s="13"/>
      <c r="I19" s="15" t="str">
        <f t="shared" ca="1" si="0"/>
        <v/>
      </c>
      <c r="J19" s="13"/>
      <c r="K19" s="9"/>
      <c r="L19" s="14"/>
      <c r="M19" s="14"/>
      <c r="N19" s="9"/>
      <c r="O19" s="13"/>
      <c r="P19" s="9"/>
      <c r="Q19" s="9"/>
      <c r="R19" s="9"/>
    </row>
    <row r="20" spans="1:18" ht="15.75" customHeight="1" x14ac:dyDescent="0.35">
      <c r="A20" s="9"/>
      <c r="B20" s="9"/>
      <c r="C20" s="9"/>
      <c r="D20" s="9"/>
      <c r="E20" s="9"/>
      <c r="F20" s="9"/>
      <c r="G20" s="13"/>
      <c r="H20" s="13"/>
      <c r="I20" s="15" t="str">
        <f t="shared" ca="1" si="0"/>
        <v/>
      </c>
      <c r="J20" s="13"/>
      <c r="K20" s="9"/>
      <c r="L20" s="14"/>
      <c r="M20" s="14"/>
      <c r="N20" s="9"/>
      <c r="O20" s="13"/>
      <c r="P20" s="9"/>
      <c r="Q20" s="9"/>
      <c r="R20" s="9"/>
    </row>
    <row r="21" spans="1:18" ht="15.75" customHeight="1" x14ac:dyDescent="0.35">
      <c r="A21" s="9"/>
      <c r="B21" s="9"/>
      <c r="C21" s="9"/>
      <c r="D21" s="9"/>
      <c r="E21" s="9"/>
      <c r="F21" s="9"/>
      <c r="G21" s="13"/>
      <c r="H21" s="13"/>
      <c r="I21" s="15" t="str">
        <f t="shared" ca="1" si="0"/>
        <v/>
      </c>
      <c r="J21" s="13"/>
      <c r="K21" s="9"/>
      <c r="L21" s="14"/>
      <c r="M21" s="14"/>
      <c r="N21" s="9"/>
      <c r="O21" s="13"/>
      <c r="P21" s="9"/>
      <c r="Q21" s="9"/>
      <c r="R21" s="9"/>
    </row>
    <row r="22" spans="1:18" ht="15.75" customHeight="1" x14ac:dyDescent="0.35">
      <c r="A22" s="9"/>
      <c r="B22" s="9"/>
      <c r="C22" s="9"/>
      <c r="D22" s="9"/>
      <c r="E22" s="9"/>
      <c r="F22" s="9"/>
      <c r="G22" s="13"/>
      <c r="H22" s="13"/>
      <c r="I22" s="15" t="str">
        <f t="shared" ca="1" si="0"/>
        <v/>
      </c>
      <c r="J22" s="13"/>
      <c r="K22" s="9"/>
      <c r="L22" s="14"/>
      <c r="M22" s="14"/>
      <c r="N22" s="9"/>
      <c r="O22" s="13"/>
      <c r="P22" s="9"/>
      <c r="Q22" s="9"/>
      <c r="R22" s="9"/>
    </row>
    <row r="23" spans="1:18" ht="15.75" customHeight="1" x14ac:dyDescent="0.35">
      <c r="A23" s="9"/>
      <c r="B23" s="9"/>
      <c r="C23" s="9"/>
      <c r="D23" s="9"/>
      <c r="E23" s="9"/>
      <c r="F23" s="9"/>
      <c r="G23" s="13"/>
      <c r="H23" s="13"/>
      <c r="I23" s="15" t="str">
        <f t="shared" ca="1" si="0"/>
        <v/>
      </c>
      <c r="J23" s="13"/>
      <c r="K23" s="9"/>
      <c r="L23" s="14"/>
      <c r="M23" s="14"/>
      <c r="N23" s="9"/>
      <c r="O23" s="13"/>
      <c r="P23" s="9"/>
      <c r="Q23" s="9"/>
      <c r="R23" s="9"/>
    </row>
    <row r="24" spans="1:18" ht="15.75" customHeight="1" x14ac:dyDescent="0.35">
      <c r="A24" s="9"/>
      <c r="B24" s="9"/>
      <c r="C24" s="9"/>
      <c r="D24" s="9"/>
      <c r="E24" s="9"/>
      <c r="F24" s="9"/>
      <c r="G24" s="13"/>
      <c r="H24" s="13"/>
      <c r="I24" s="15" t="str">
        <f t="shared" ca="1" si="0"/>
        <v/>
      </c>
      <c r="J24" s="13"/>
      <c r="K24" s="9"/>
      <c r="L24" s="14"/>
      <c r="M24" s="14"/>
      <c r="N24" s="9"/>
      <c r="O24" s="13"/>
      <c r="P24" s="9"/>
      <c r="Q24" s="9"/>
      <c r="R24" s="9"/>
    </row>
    <row r="25" spans="1:18" ht="15.75" customHeight="1" x14ac:dyDescent="0.35">
      <c r="A25" s="9"/>
      <c r="B25" s="9"/>
      <c r="C25" s="9"/>
      <c r="D25" s="9"/>
      <c r="E25" s="9"/>
      <c r="F25" s="9"/>
      <c r="G25" s="13"/>
      <c r="H25" s="13"/>
      <c r="I25" s="15" t="str">
        <f t="shared" ca="1" si="0"/>
        <v/>
      </c>
      <c r="J25" s="13"/>
      <c r="K25" s="9"/>
      <c r="L25" s="14"/>
      <c r="M25" s="14"/>
      <c r="N25" s="9"/>
      <c r="O25" s="13"/>
      <c r="P25" s="9"/>
      <c r="Q25" s="9"/>
      <c r="R25" s="9"/>
    </row>
    <row r="26" spans="1:18" ht="15.75" customHeight="1" x14ac:dyDescent="0.35">
      <c r="A26" s="9"/>
      <c r="B26" s="9"/>
      <c r="C26" s="9"/>
      <c r="D26" s="9"/>
      <c r="E26" s="9"/>
      <c r="F26" s="9"/>
      <c r="G26" s="13"/>
      <c r="H26" s="13"/>
      <c r="I26" s="15" t="str">
        <f t="shared" ca="1" si="0"/>
        <v/>
      </c>
      <c r="J26" s="13"/>
      <c r="K26" s="9"/>
      <c r="L26" s="14"/>
      <c r="M26" s="14"/>
      <c r="N26" s="9"/>
      <c r="O26" s="13"/>
      <c r="P26" s="9"/>
      <c r="Q26" s="9"/>
      <c r="R26" s="9"/>
    </row>
    <row r="27" spans="1:18" ht="15.75" customHeight="1" x14ac:dyDescent="0.35">
      <c r="A27" s="9"/>
      <c r="B27" s="9"/>
      <c r="C27" s="9"/>
      <c r="D27" s="9"/>
      <c r="E27" s="9"/>
      <c r="F27" s="9"/>
      <c r="G27" s="13"/>
      <c r="H27" s="13"/>
      <c r="I27" s="15" t="str">
        <f t="shared" ca="1" si="0"/>
        <v/>
      </c>
      <c r="J27" s="13"/>
      <c r="K27" s="9"/>
      <c r="L27" s="14"/>
      <c r="M27" s="14"/>
      <c r="N27" s="9"/>
      <c r="O27" s="13"/>
      <c r="P27" s="9"/>
      <c r="Q27" s="9"/>
      <c r="R27" s="9"/>
    </row>
    <row r="28" spans="1:18" ht="15.75" customHeight="1" x14ac:dyDescent="0.35">
      <c r="A28" s="9"/>
      <c r="B28" s="9"/>
      <c r="C28" s="9"/>
      <c r="D28" s="9"/>
      <c r="E28" s="9"/>
      <c r="F28" s="9"/>
      <c r="G28" s="13"/>
      <c r="H28" s="13"/>
      <c r="I28" s="15" t="str">
        <f t="shared" ca="1" si="0"/>
        <v/>
      </c>
      <c r="J28" s="13"/>
      <c r="K28" s="9"/>
      <c r="L28" s="14"/>
      <c r="M28" s="14"/>
      <c r="N28" s="9"/>
      <c r="O28" s="13"/>
      <c r="P28" s="9"/>
      <c r="Q28" s="9"/>
      <c r="R28" s="9"/>
    </row>
    <row r="29" spans="1:18" ht="15.75" customHeight="1" x14ac:dyDescent="0.35">
      <c r="A29" s="9"/>
      <c r="B29" s="9"/>
      <c r="C29" s="9"/>
      <c r="D29" s="9"/>
      <c r="E29" s="9"/>
      <c r="F29" s="9"/>
      <c r="G29" s="13"/>
      <c r="H29" s="13"/>
      <c r="I29" s="15" t="str">
        <f t="shared" ca="1" si="0"/>
        <v/>
      </c>
      <c r="J29" s="13"/>
      <c r="K29" s="9"/>
      <c r="L29" s="14"/>
      <c r="M29" s="14"/>
      <c r="N29" s="9"/>
      <c r="O29" s="13"/>
      <c r="P29" s="9"/>
      <c r="Q29" s="9"/>
      <c r="R29" s="9"/>
    </row>
    <row r="30" spans="1:18" ht="15.75" customHeight="1" x14ac:dyDescent="0.35">
      <c r="A30" s="9"/>
      <c r="B30" s="9"/>
      <c r="C30" s="9"/>
      <c r="D30" s="9"/>
      <c r="E30" s="9"/>
      <c r="F30" s="9"/>
      <c r="G30" s="13"/>
      <c r="H30" s="13"/>
      <c r="I30" s="15" t="str">
        <f t="shared" ca="1" si="0"/>
        <v/>
      </c>
      <c r="J30" s="13"/>
      <c r="K30" s="9"/>
      <c r="L30" s="14"/>
      <c r="M30" s="14"/>
      <c r="N30" s="9"/>
      <c r="O30" s="13"/>
      <c r="P30" s="9"/>
      <c r="Q30" s="9"/>
      <c r="R30" s="9"/>
    </row>
    <row r="31" spans="1:18" ht="15.75" customHeight="1" x14ac:dyDescent="0.35">
      <c r="A31" s="9"/>
      <c r="B31" s="9"/>
      <c r="C31" s="9"/>
      <c r="D31" s="9"/>
      <c r="E31" s="9"/>
      <c r="F31" s="9"/>
      <c r="G31" s="13"/>
      <c r="H31" s="13"/>
      <c r="I31" s="15" t="str">
        <f t="shared" ca="1" si="0"/>
        <v/>
      </c>
      <c r="J31" s="13"/>
      <c r="K31" s="9"/>
      <c r="L31" s="14"/>
      <c r="M31" s="14"/>
      <c r="N31" s="9"/>
      <c r="O31" s="13"/>
      <c r="P31" s="9"/>
      <c r="Q31" s="9"/>
      <c r="R31" s="9"/>
    </row>
    <row r="32" spans="1:18" ht="15.75" customHeight="1" x14ac:dyDescent="0.35">
      <c r="A32" s="9"/>
      <c r="B32" s="9"/>
      <c r="C32" s="9"/>
      <c r="D32" s="9"/>
      <c r="E32" s="9"/>
      <c r="F32" s="9"/>
      <c r="G32" s="13"/>
      <c r="H32" s="13"/>
      <c r="I32" s="15" t="str">
        <f t="shared" ca="1" si="0"/>
        <v/>
      </c>
      <c r="J32" s="13"/>
      <c r="K32" s="9"/>
      <c r="L32" s="14"/>
      <c r="M32" s="14"/>
      <c r="N32" s="9"/>
      <c r="O32" s="13"/>
      <c r="P32" s="9"/>
      <c r="Q32" s="9"/>
      <c r="R32" s="9"/>
    </row>
    <row r="33" spans="1:18" ht="15.75" customHeight="1" x14ac:dyDescent="0.35">
      <c r="A33" s="9"/>
      <c r="B33" s="9"/>
      <c r="C33" s="9"/>
      <c r="D33" s="9"/>
      <c r="E33" s="9"/>
      <c r="F33" s="9"/>
      <c r="G33" s="13"/>
      <c r="H33" s="13"/>
      <c r="I33" s="15" t="str">
        <f t="shared" ca="1" si="0"/>
        <v/>
      </c>
      <c r="J33" s="13"/>
      <c r="K33" s="9"/>
      <c r="L33" s="14"/>
      <c r="M33" s="14"/>
      <c r="N33" s="9"/>
      <c r="O33" s="13"/>
      <c r="P33" s="9"/>
      <c r="Q33" s="9"/>
      <c r="R33" s="9"/>
    </row>
    <row r="34" spans="1:18" ht="15.75" customHeight="1" x14ac:dyDescent="0.35">
      <c r="A34" s="9"/>
      <c r="B34" s="9"/>
      <c r="C34" s="9"/>
      <c r="D34" s="9"/>
      <c r="E34" s="9"/>
      <c r="F34" s="9"/>
      <c r="G34" s="13"/>
      <c r="H34" s="13"/>
      <c r="I34" s="15" t="str">
        <f t="shared" ca="1" si="0"/>
        <v/>
      </c>
      <c r="J34" s="13"/>
      <c r="K34" s="9"/>
      <c r="L34" s="14"/>
      <c r="M34" s="14"/>
      <c r="N34" s="9"/>
      <c r="O34" s="13"/>
      <c r="P34" s="9"/>
      <c r="Q34" s="9"/>
      <c r="R34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91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48" sqref="A48"/>
      <selection pane="bottomRight" activeCell="I12" sqref="I12"/>
    </sheetView>
  </sheetViews>
  <sheetFormatPr defaultColWidth="8.6328125" defaultRowHeight="14.5" x14ac:dyDescent="0.35"/>
  <cols>
    <col min="1" max="1" width="11.36328125" customWidth="1"/>
    <col min="2" max="2" width="13" customWidth="1"/>
    <col min="3" max="3" width="12" customWidth="1"/>
    <col min="4" max="4" width="18" customWidth="1"/>
    <col min="5" max="5" width="24" customWidth="1"/>
    <col min="6" max="6" width="28" customWidth="1"/>
    <col min="7" max="7" width="10" customWidth="1"/>
    <col min="8" max="8" width="15" customWidth="1"/>
    <col min="9" max="10" width="13" customWidth="1"/>
    <col min="11" max="11" width="22.81640625" bestFit="1" customWidth="1"/>
    <col min="12" max="12" width="16" customWidth="1"/>
    <col min="13" max="13" width="18" customWidth="1"/>
    <col min="14" max="15" width="14" customWidth="1"/>
    <col min="16" max="16" width="24" customWidth="1"/>
    <col min="17" max="18" width="12" customWidth="1"/>
    <col min="19" max="19" width="10" customWidth="1"/>
    <col min="20" max="20" width="26" customWidth="1"/>
  </cols>
  <sheetData>
    <row r="1" spans="1:20" ht="18" customHeight="1" x14ac:dyDescent="0.4">
      <c r="A1" s="2" t="s">
        <v>212</v>
      </c>
    </row>
    <row r="2" spans="1:20" ht="14.25" customHeight="1" x14ac:dyDescent="0.35">
      <c r="A2" s="3" t="s">
        <v>213</v>
      </c>
    </row>
    <row r="4" spans="1:20" ht="39" customHeight="1" x14ac:dyDescent="0.35">
      <c r="A4" s="8" t="s">
        <v>214</v>
      </c>
      <c r="B4" s="8" t="s">
        <v>215</v>
      </c>
      <c r="C4" s="8" t="s">
        <v>216</v>
      </c>
      <c r="D4" s="8" t="s">
        <v>217</v>
      </c>
      <c r="E4" s="8" t="s">
        <v>218</v>
      </c>
      <c r="F4" s="8" t="s">
        <v>219</v>
      </c>
      <c r="G4" s="8" t="s">
        <v>131</v>
      </c>
      <c r="H4" s="8" t="s">
        <v>220</v>
      </c>
      <c r="I4" s="8" t="s">
        <v>221</v>
      </c>
      <c r="J4" s="8" t="s">
        <v>222</v>
      </c>
      <c r="K4" s="8" t="s">
        <v>223</v>
      </c>
      <c r="L4" s="8" t="s">
        <v>224</v>
      </c>
      <c r="M4" s="8" t="s">
        <v>225</v>
      </c>
      <c r="N4" s="8" t="s">
        <v>226</v>
      </c>
      <c r="O4" s="8" t="s">
        <v>227</v>
      </c>
      <c r="P4" s="8" t="s">
        <v>228</v>
      </c>
      <c r="Q4" s="8" t="s">
        <v>229</v>
      </c>
      <c r="R4" s="8" t="s">
        <v>230</v>
      </c>
      <c r="S4" s="8" t="s">
        <v>62</v>
      </c>
      <c r="T4" s="8" t="s">
        <v>63</v>
      </c>
    </row>
    <row r="5" spans="1:20" ht="15.75" customHeight="1" x14ac:dyDescent="0.35">
      <c r="A5" s="9" t="s">
        <v>231</v>
      </c>
      <c r="B5" s="9" t="s">
        <v>66</v>
      </c>
      <c r="C5" s="9" t="s">
        <v>232</v>
      </c>
      <c r="D5" s="9" t="s">
        <v>233</v>
      </c>
      <c r="E5" s="9" t="s">
        <v>234</v>
      </c>
      <c r="F5" s="9" t="s">
        <v>235</v>
      </c>
      <c r="G5" s="9" t="s">
        <v>71</v>
      </c>
      <c r="H5" s="14">
        <f>5262.85+4354.1+5670.2</f>
        <v>15287.150000000001</v>
      </c>
      <c r="I5" s="9" t="s">
        <v>236</v>
      </c>
      <c r="J5" s="9" t="s">
        <v>237</v>
      </c>
      <c r="K5" s="9">
        <v>27</v>
      </c>
      <c r="L5" s="9" t="s">
        <v>238</v>
      </c>
      <c r="M5" s="9" t="s">
        <v>239</v>
      </c>
      <c r="N5" s="9" t="s">
        <v>240</v>
      </c>
      <c r="O5" s="9" t="s">
        <v>241</v>
      </c>
      <c r="P5" s="9"/>
      <c r="Q5" s="13"/>
      <c r="R5" s="13"/>
      <c r="S5" s="9" t="s">
        <v>77</v>
      </c>
      <c r="T5" s="9"/>
    </row>
    <row r="6" spans="1:20" ht="15.75" customHeight="1" x14ac:dyDescent="0.35">
      <c r="A6" s="9" t="s">
        <v>242</v>
      </c>
      <c r="B6" s="9" t="s">
        <v>66</v>
      </c>
      <c r="C6" s="9" t="s">
        <v>232</v>
      </c>
      <c r="D6" s="9" t="s">
        <v>243</v>
      </c>
      <c r="E6" s="9" t="s">
        <v>244</v>
      </c>
      <c r="F6" s="9" t="s">
        <v>245</v>
      </c>
      <c r="G6" s="9" t="s">
        <v>71</v>
      </c>
      <c r="H6" s="14">
        <f>816+748+612+561+212</f>
        <v>2949</v>
      </c>
      <c r="I6" s="9" t="s">
        <v>236</v>
      </c>
      <c r="J6" s="9" t="s">
        <v>237</v>
      </c>
      <c r="K6" s="9">
        <v>15</v>
      </c>
      <c r="L6" s="9" t="s">
        <v>238</v>
      </c>
      <c r="M6" s="9" t="s">
        <v>239</v>
      </c>
      <c r="N6" s="9" t="s">
        <v>240</v>
      </c>
      <c r="O6" s="9" t="s">
        <v>241</v>
      </c>
      <c r="P6" s="9"/>
      <c r="Q6" s="13"/>
      <c r="R6" s="13"/>
      <c r="S6" s="9" t="s">
        <v>77</v>
      </c>
      <c r="T6" s="9"/>
    </row>
    <row r="7" spans="1:20" ht="15.75" customHeight="1" x14ac:dyDescent="0.35">
      <c r="A7" s="9" t="s">
        <v>246</v>
      </c>
      <c r="B7" s="9" t="s">
        <v>66</v>
      </c>
      <c r="C7" s="9" t="s">
        <v>232</v>
      </c>
      <c r="D7" s="9" t="s">
        <v>243</v>
      </c>
      <c r="E7" s="9" t="s">
        <v>247</v>
      </c>
      <c r="F7" s="9" t="s">
        <v>248</v>
      </c>
      <c r="G7" s="9" t="s">
        <v>71</v>
      </c>
      <c r="H7" s="14">
        <f>61.9+83.15+23.75+9.5+104.15+11.9+29.75+44.65</f>
        <v>368.75</v>
      </c>
      <c r="I7" s="9" t="s">
        <v>236</v>
      </c>
      <c r="J7" s="9" t="s">
        <v>237</v>
      </c>
      <c r="K7" s="9">
        <v>15</v>
      </c>
      <c r="L7" s="9" t="s">
        <v>238</v>
      </c>
      <c r="M7" s="9" t="s">
        <v>239</v>
      </c>
      <c r="N7" s="9" t="s">
        <v>240</v>
      </c>
      <c r="O7" s="9" t="s">
        <v>241</v>
      </c>
      <c r="P7" s="9"/>
      <c r="Q7" s="13"/>
      <c r="R7" s="13"/>
      <c r="S7" s="9" t="s">
        <v>77</v>
      </c>
      <c r="T7" s="9"/>
    </row>
    <row r="8" spans="1:20" ht="15.75" customHeight="1" x14ac:dyDescent="0.35">
      <c r="A8" s="9" t="s">
        <v>249</v>
      </c>
      <c r="B8" s="9" t="s">
        <v>66</v>
      </c>
      <c r="C8" s="9" t="s">
        <v>232</v>
      </c>
      <c r="D8" s="9" t="s">
        <v>243</v>
      </c>
      <c r="E8" s="9" t="s">
        <v>250</v>
      </c>
      <c r="F8" s="9" t="s">
        <v>251</v>
      </c>
      <c r="G8" s="9" t="s">
        <v>71</v>
      </c>
      <c r="H8" s="14">
        <f>295.5+116</f>
        <v>411.5</v>
      </c>
      <c r="I8" s="9" t="s">
        <v>236</v>
      </c>
      <c r="J8" s="9" t="s">
        <v>237</v>
      </c>
      <c r="K8" s="30">
        <v>15</v>
      </c>
      <c r="L8" s="9" t="s">
        <v>238</v>
      </c>
      <c r="M8" s="9" t="s">
        <v>239</v>
      </c>
      <c r="N8" s="9" t="s">
        <v>240</v>
      </c>
      <c r="O8" s="9" t="s">
        <v>241</v>
      </c>
      <c r="P8" s="9"/>
      <c r="Q8" s="13"/>
      <c r="R8" s="13"/>
      <c r="S8" s="9" t="s">
        <v>77</v>
      </c>
      <c r="T8" s="9"/>
    </row>
    <row r="9" spans="1:20" ht="15.75" customHeight="1" x14ac:dyDescent="0.35">
      <c r="A9" s="9" t="s">
        <v>252</v>
      </c>
      <c r="B9" s="9" t="s">
        <v>66</v>
      </c>
      <c r="C9" s="9" t="s">
        <v>232</v>
      </c>
      <c r="D9" s="9" t="s">
        <v>253</v>
      </c>
      <c r="E9" s="9" t="s">
        <v>254</v>
      </c>
      <c r="F9" s="9" t="s">
        <v>255</v>
      </c>
      <c r="G9" s="9" t="s">
        <v>71</v>
      </c>
      <c r="H9" s="14">
        <v>2700</v>
      </c>
      <c r="I9" s="9" t="s">
        <v>236</v>
      </c>
      <c r="J9" s="9" t="s">
        <v>237</v>
      </c>
      <c r="K9" s="30">
        <v>10</v>
      </c>
      <c r="L9" s="9" t="s">
        <v>238</v>
      </c>
      <c r="M9" s="9" t="s">
        <v>239</v>
      </c>
      <c r="N9" s="9" t="s">
        <v>240</v>
      </c>
      <c r="O9" s="9" t="s">
        <v>241</v>
      </c>
      <c r="P9" s="9"/>
      <c r="Q9" s="13"/>
      <c r="R9" s="13"/>
      <c r="S9" s="9" t="s">
        <v>77</v>
      </c>
      <c r="T9" s="9"/>
    </row>
    <row r="10" spans="1:20" ht="15.75" customHeight="1" x14ac:dyDescent="0.35">
      <c r="A10" s="9" t="s">
        <v>256</v>
      </c>
      <c r="B10" s="9" t="s">
        <v>66</v>
      </c>
      <c r="C10" s="9" t="s">
        <v>232</v>
      </c>
      <c r="D10" s="9" t="s">
        <v>61</v>
      </c>
      <c r="E10" s="9" t="s">
        <v>76</v>
      </c>
      <c r="F10" s="9" t="s">
        <v>257</v>
      </c>
      <c r="G10" s="9" t="s">
        <v>71</v>
      </c>
      <c r="H10" s="14">
        <v>2000</v>
      </c>
      <c r="I10" s="9" t="s">
        <v>236</v>
      </c>
      <c r="J10" s="9" t="s">
        <v>258</v>
      </c>
      <c r="K10" s="30" t="s">
        <v>114</v>
      </c>
      <c r="L10" s="9" t="s">
        <v>238</v>
      </c>
      <c r="M10" s="9" t="s">
        <v>239</v>
      </c>
      <c r="N10" s="9" t="s">
        <v>240</v>
      </c>
      <c r="O10" s="9" t="s">
        <v>241</v>
      </c>
      <c r="P10" s="9"/>
      <c r="Q10" s="13"/>
      <c r="R10" s="13"/>
      <c r="S10" s="9" t="s">
        <v>77</v>
      </c>
      <c r="T10" s="9"/>
    </row>
    <row r="11" spans="1:20" ht="15.75" customHeight="1" x14ac:dyDescent="0.35">
      <c r="A11" s="9" t="s">
        <v>259</v>
      </c>
      <c r="B11" s="9" t="s">
        <v>66</v>
      </c>
      <c r="C11" s="9" t="s">
        <v>232</v>
      </c>
      <c r="D11" s="9" t="s">
        <v>260</v>
      </c>
      <c r="E11" s="9" t="s">
        <v>75</v>
      </c>
      <c r="F11" s="9" t="s">
        <v>261</v>
      </c>
      <c r="G11" s="9" t="s">
        <v>71</v>
      </c>
      <c r="H11" s="14">
        <v>2000</v>
      </c>
      <c r="I11" s="9" t="s">
        <v>236</v>
      </c>
      <c r="J11" s="9" t="s">
        <v>258</v>
      </c>
      <c r="K11" s="30" t="s">
        <v>114</v>
      </c>
      <c r="L11" s="9" t="s">
        <v>238</v>
      </c>
      <c r="M11" s="9" t="s">
        <v>239</v>
      </c>
      <c r="N11" s="9" t="s">
        <v>240</v>
      </c>
      <c r="O11" s="9" t="s">
        <v>241</v>
      </c>
      <c r="P11" s="9"/>
      <c r="Q11" s="13"/>
      <c r="R11" s="13"/>
      <c r="S11" s="9" t="s">
        <v>77</v>
      </c>
      <c r="T11" s="9"/>
    </row>
    <row r="12" spans="1:20" ht="15.75" customHeight="1" x14ac:dyDescent="0.35">
      <c r="A12" s="9" t="s">
        <v>262</v>
      </c>
      <c r="B12" s="9" t="s">
        <v>66</v>
      </c>
      <c r="C12" s="9" t="s">
        <v>232</v>
      </c>
      <c r="D12" s="9" t="s">
        <v>263</v>
      </c>
      <c r="E12" s="9" t="s">
        <v>73</v>
      </c>
      <c r="F12" s="9" t="s">
        <v>264</v>
      </c>
      <c r="G12" s="9" t="s">
        <v>71</v>
      </c>
      <c r="H12" s="14">
        <v>1200</v>
      </c>
      <c r="I12" s="9" t="s">
        <v>236</v>
      </c>
      <c r="J12" s="9" t="s">
        <v>265</v>
      </c>
      <c r="K12" s="30" t="s">
        <v>114</v>
      </c>
      <c r="L12" s="9" t="s">
        <v>238</v>
      </c>
      <c r="M12" s="9" t="s">
        <v>239</v>
      </c>
      <c r="N12" s="9" t="s">
        <v>240</v>
      </c>
      <c r="O12" s="9" t="s">
        <v>241</v>
      </c>
      <c r="P12" s="9"/>
      <c r="Q12" s="13"/>
      <c r="R12" s="13"/>
      <c r="S12" s="9" t="s">
        <v>77</v>
      </c>
      <c r="T12" s="9"/>
    </row>
    <row r="13" spans="1:20" ht="15.75" customHeight="1" x14ac:dyDescent="0.35">
      <c r="A13" s="9" t="s">
        <v>266</v>
      </c>
      <c r="B13" s="9" t="s">
        <v>66</v>
      </c>
      <c r="C13" s="9" t="s">
        <v>232</v>
      </c>
      <c r="D13" s="9" t="s">
        <v>263</v>
      </c>
      <c r="E13" s="9" t="s">
        <v>73</v>
      </c>
      <c r="F13" s="9" t="s">
        <v>267</v>
      </c>
      <c r="G13" s="9" t="s">
        <v>71</v>
      </c>
      <c r="H13" s="14">
        <v>1200</v>
      </c>
      <c r="I13" s="9" t="s">
        <v>236</v>
      </c>
      <c r="J13" s="9" t="s">
        <v>258</v>
      </c>
      <c r="K13" s="30" t="s">
        <v>114</v>
      </c>
      <c r="L13" s="9" t="s">
        <v>238</v>
      </c>
      <c r="M13" s="9" t="s">
        <v>239</v>
      </c>
      <c r="N13" s="9" t="s">
        <v>240</v>
      </c>
      <c r="O13" s="9" t="s">
        <v>241</v>
      </c>
      <c r="P13" s="9"/>
      <c r="Q13" s="13"/>
      <c r="R13" s="13"/>
      <c r="S13" s="9" t="s">
        <v>77</v>
      </c>
      <c r="T13" s="9"/>
    </row>
    <row r="14" spans="1:20" ht="15.75" customHeight="1" x14ac:dyDescent="0.35">
      <c r="A14" s="9" t="s">
        <v>268</v>
      </c>
      <c r="B14" s="9" t="s">
        <v>88</v>
      </c>
      <c r="C14" s="9" t="s">
        <v>269</v>
      </c>
      <c r="D14" s="9" t="s">
        <v>270</v>
      </c>
      <c r="E14" s="9" t="s">
        <v>271</v>
      </c>
      <c r="F14" s="9" t="s">
        <v>272</v>
      </c>
      <c r="G14" s="9" t="s">
        <v>71</v>
      </c>
      <c r="H14" s="14">
        <v>9000</v>
      </c>
      <c r="I14" s="9" t="s">
        <v>236</v>
      </c>
      <c r="J14" s="9" t="s">
        <v>237</v>
      </c>
      <c r="K14" s="30">
        <v>1</v>
      </c>
      <c r="L14" s="9" t="s">
        <v>238</v>
      </c>
      <c r="M14" s="9" t="s">
        <v>239</v>
      </c>
      <c r="N14" s="9" t="s">
        <v>240</v>
      </c>
      <c r="O14" s="9" t="s">
        <v>241</v>
      </c>
      <c r="P14" s="9"/>
      <c r="Q14" s="13"/>
      <c r="R14" s="13"/>
      <c r="S14" s="9" t="s">
        <v>77</v>
      </c>
      <c r="T14" s="9"/>
    </row>
    <row r="15" spans="1:20" ht="15.75" customHeight="1" x14ac:dyDescent="0.35">
      <c r="A15" s="9" t="s">
        <v>273</v>
      </c>
      <c r="B15" s="9" t="s">
        <v>88</v>
      </c>
      <c r="C15" s="9" t="s">
        <v>269</v>
      </c>
      <c r="D15" s="9" t="s">
        <v>270</v>
      </c>
      <c r="E15" s="9" t="s">
        <v>274</v>
      </c>
      <c r="F15" s="9" t="s">
        <v>272</v>
      </c>
      <c r="G15" s="9" t="s">
        <v>71</v>
      </c>
      <c r="H15" s="14">
        <v>10000</v>
      </c>
      <c r="I15" s="9" t="s">
        <v>236</v>
      </c>
      <c r="J15" s="9" t="s">
        <v>237</v>
      </c>
      <c r="K15" s="30">
        <v>1</v>
      </c>
      <c r="L15" s="9" t="s">
        <v>238</v>
      </c>
      <c r="M15" s="9" t="s">
        <v>239</v>
      </c>
      <c r="N15" s="9" t="s">
        <v>240</v>
      </c>
      <c r="O15" s="9" t="s">
        <v>241</v>
      </c>
      <c r="P15" s="9"/>
      <c r="Q15" s="13"/>
      <c r="R15" s="13"/>
      <c r="S15" s="9" t="s">
        <v>77</v>
      </c>
      <c r="T15" s="9"/>
    </row>
    <row r="16" spans="1:20" ht="15.75" customHeight="1" x14ac:dyDescent="0.35">
      <c r="A16" s="9" t="s">
        <v>275</v>
      </c>
      <c r="B16" s="9" t="s">
        <v>88</v>
      </c>
      <c r="C16" s="9" t="s">
        <v>269</v>
      </c>
      <c r="D16" s="9" t="s">
        <v>270</v>
      </c>
      <c r="E16" s="9" t="s">
        <v>276</v>
      </c>
      <c r="F16" s="9" t="s">
        <v>272</v>
      </c>
      <c r="G16" s="9" t="s">
        <v>71</v>
      </c>
      <c r="H16" s="14">
        <v>8750</v>
      </c>
      <c r="I16" s="9" t="s">
        <v>236</v>
      </c>
      <c r="J16" s="9" t="s">
        <v>237</v>
      </c>
      <c r="K16" s="30">
        <v>1</v>
      </c>
      <c r="L16" s="9" t="s">
        <v>238</v>
      </c>
      <c r="M16" s="9" t="s">
        <v>239</v>
      </c>
      <c r="N16" s="9" t="s">
        <v>240</v>
      </c>
      <c r="O16" s="9" t="s">
        <v>241</v>
      </c>
      <c r="P16" s="9"/>
      <c r="Q16" s="13"/>
      <c r="R16" s="13"/>
      <c r="S16" s="9" t="s">
        <v>77</v>
      </c>
      <c r="T16" s="9"/>
    </row>
    <row r="17" spans="1:20" ht="15.75" customHeight="1" x14ac:dyDescent="0.35">
      <c r="A17" s="9" t="s">
        <v>277</v>
      </c>
      <c r="B17" s="9" t="s">
        <v>88</v>
      </c>
      <c r="C17" s="9" t="s">
        <v>269</v>
      </c>
      <c r="D17" s="9" t="s">
        <v>270</v>
      </c>
      <c r="E17" s="9" t="s">
        <v>278</v>
      </c>
      <c r="F17" s="9" t="s">
        <v>272</v>
      </c>
      <c r="G17" s="9" t="s">
        <v>71</v>
      </c>
      <c r="H17" s="14">
        <v>8500</v>
      </c>
      <c r="I17" s="9" t="s">
        <v>236</v>
      </c>
      <c r="J17" s="9" t="s">
        <v>237</v>
      </c>
      <c r="K17" s="9">
        <v>1</v>
      </c>
      <c r="L17" s="9" t="s">
        <v>238</v>
      </c>
      <c r="M17" s="9" t="s">
        <v>239</v>
      </c>
      <c r="N17" s="9" t="s">
        <v>240</v>
      </c>
      <c r="O17" s="9" t="s">
        <v>241</v>
      </c>
      <c r="P17" s="9"/>
      <c r="Q17" s="13"/>
      <c r="R17" s="13"/>
      <c r="S17" s="9" t="s">
        <v>77</v>
      </c>
      <c r="T17" s="9"/>
    </row>
    <row r="18" spans="1:20" ht="15.75" customHeight="1" x14ac:dyDescent="0.35">
      <c r="A18" s="9" t="s">
        <v>279</v>
      </c>
      <c r="B18" s="9" t="s">
        <v>88</v>
      </c>
      <c r="C18" s="9" t="s">
        <v>232</v>
      </c>
      <c r="D18" s="9" t="s">
        <v>233</v>
      </c>
      <c r="E18" s="9" t="s">
        <v>280</v>
      </c>
      <c r="F18" s="9" t="s">
        <v>235</v>
      </c>
      <c r="G18" s="9" t="s">
        <v>71</v>
      </c>
      <c r="H18" s="14">
        <v>5321.85</v>
      </c>
      <c r="I18" s="9" t="s">
        <v>236</v>
      </c>
      <c r="J18" s="9" t="s">
        <v>237</v>
      </c>
      <c r="K18" s="9">
        <v>27</v>
      </c>
      <c r="L18" s="9" t="s">
        <v>281</v>
      </c>
      <c r="M18" s="9" t="s">
        <v>239</v>
      </c>
      <c r="N18" s="9" t="s">
        <v>240</v>
      </c>
      <c r="O18" s="9" t="s">
        <v>241</v>
      </c>
      <c r="P18" s="9"/>
      <c r="Q18" s="13"/>
      <c r="R18" s="13"/>
      <c r="S18" s="9" t="s">
        <v>77</v>
      </c>
      <c r="T18" s="9"/>
    </row>
    <row r="19" spans="1:20" ht="15.75" customHeight="1" x14ac:dyDescent="0.35">
      <c r="A19" s="9" t="s">
        <v>282</v>
      </c>
      <c r="B19" s="9" t="s">
        <v>88</v>
      </c>
      <c r="C19" s="9" t="s">
        <v>232</v>
      </c>
      <c r="D19" s="9" t="s">
        <v>243</v>
      </c>
      <c r="E19" s="9" t="s">
        <v>244</v>
      </c>
      <c r="F19" s="9" t="s">
        <v>245</v>
      </c>
      <c r="G19" s="9" t="s">
        <v>71</v>
      </c>
      <c r="H19" s="14">
        <f>252+693</f>
        <v>945</v>
      </c>
      <c r="I19" s="9" t="s">
        <v>236</v>
      </c>
      <c r="J19" s="9" t="s">
        <v>237</v>
      </c>
      <c r="K19" s="9">
        <v>15</v>
      </c>
      <c r="L19" s="9" t="s">
        <v>238</v>
      </c>
      <c r="M19" s="9" t="s">
        <v>239</v>
      </c>
      <c r="N19" s="9" t="s">
        <v>240</v>
      </c>
      <c r="O19" s="9" t="s">
        <v>241</v>
      </c>
      <c r="P19" s="9"/>
      <c r="Q19" s="13"/>
      <c r="R19" s="13"/>
      <c r="S19" s="9" t="s">
        <v>77</v>
      </c>
      <c r="T19" s="9"/>
    </row>
    <row r="20" spans="1:20" ht="15.75" customHeight="1" x14ac:dyDescent="0.35">
      <c r="A20" s="9" t="s">
        <v>283</v>
      </c>
      <c r="B20" s="9" t="s">
        <v>88</v>
      </c>
      <c r="C20" s="9" t="s">
        <v>232</v>
      </c>
      <c r="D20" s="9" t="s">
        <v>243</v>
      </c>
      <c r="E20" s="9" t="s">
        <v>247</v>
      </c>
      <c r="F20" s="9" t="s">
        <v>248</v>
      </c>
      <c r="G20" s="9" t="s">
        <v>71</v>
      </c>
      <c r="H20" s="14">
        <v>74.400000000000006</v>
      </c>
      <c r="I20" s="9" t="s">
        <v>236</v>
      </c>
      <c r="J20" s="9" t="s">
        <v>237</v>
      </c>
      <c r="K20" s="9">
        <v>15</v>
      </c>
      <c r="L20" s="9" t="s">
        <v>238</v>
      </c>
      <c r="M20" s="9" t="s">
        <v>239</v>
      </c>
      <c r="N20" s="9" t="s">
        <v>240</v>
      </c>
      <c r="O20" s="9" t="s">
        <v>241</v>
      </c>
      <c r="P20" s="9"/>
      <c r="Q20" s="13"/>
      <c r="R20" s="13"/>
      <c r="S20" s="9" t="s">
        <v>77</v>
      </c>
      <c r="T20" s="9"/>
    </row>
    <row r="21" spans="1:20" ht="15.75" customHeight="1" x14ac:dyDescent="0.35">
      <c r="A21" s="9" t="s">
        <v>284</v>
      </c>
      <c r="B21" s="9" t="s">
        <v>88</v>
      </c>
      <c r="C21" s="9" t="s">
        <v>232</v>
      </c>
      <c r="D21" s="9" t="s">
        <v>243</v>
      </c>
      <c r="E21" s="9" t="s">
        <v>250</v>
      </c>
      <c r="F21" s="9" t="s">
        <v>251</v>
      </c>
      <c r="G21" s="9" t="s">
        <v>71</v>
      </c>
      <c r="H21" s="14">
        <v>240.5</v>
      </c>
      <c r="I21" s="9" t="s">
        <v>236</v>
      </c>
      <c r="J21" s="9" t="s">
        <v>237</v>
      </c>
      <c r="K21" s="9">
        <v>15</v>
      </c>
      <c r="L21" s="9" t="s">
        <v>238</v>
      </c>
      <c r="M21" s="9" t="s">
        <v>239</v>
      </c>
      <c r="N21" s="9" t="s">
        <v>240</v>
      </c>
      <c r="O21" s="9" t="s">
        <v>241</v>
      </c>
      <c r="P21" s="9"/>
      <c r="Q21" s="13"/>
      <c r="R21" s="13"/>
      <c r="S21" s="9" t="s">
        <v>77</v>
      </c>
      <c r="T21" s="9"/>
    </row>
    <row r="22" spans="1:20" ht="15.75" customHeight="1" x14ac:dyDescent="0.35">
      <c r="A22" s="9" t="s">
        <v>285</v>
      </c>
      <c r="B22" s="9" t="s">
        <v>88</v>
      </c>
      <c r="C22" s="9" t="s">
        <v>232</v>
      </c>
      <c r="D22" s="9" t="s">
        <v>243</v>
      </c>
      <c r="E22" s="9" t="s">
        <v>250</v>
      </c>
      <c r="F22" s="9" t="s">
        <v>286</v>
      </c>
      <c r="G22" s="9" t="s">
        <v>71</v>
      </c>
      <c r="H22" s="14">
        <v>6500</v>
      </c>
      <c r="I22" s="9" t="s">
        <v>236</v>
      </c>
      <c r="J22" s="9" t="s">
        <v>237</v>
      </c>
      <c r="K22" s="9">
        <v>15</v>
      </c>
      <c r="L22" s="9" t="s">
        <v>238</v>
      </c>
      <c r="M22" s="9" t="s">
        <v>239</v>
      </c>
      <c r="N22" s="9" t="s">
        <v>240</v>
      </c>
      <c r="O22" s="9" t="s">
        <v>241</v>
      </c>
      <c r="P22" s="9"/>
      <c r="Q22" s="13"/>
      <c r="R22" s="13"/>
      <c r="S22" s="9" t="s">
        <v>77</v>
      </c>
      <c r="T22" s="9"/>
    </row>
    <row r="23" spans="1:20" ht="15.75" customHeight="1" x14ac:dyDescent="0.35">
      <c r="A23" s="9" t="s">
        <v>287</v>
      </c>
      <c r="B23" s="9" t="s">
        <v>88</v>
      </c>
      <c r="C23" s="9" t="s">
        <v>232</v>
      </c>
      <c r="D23" s="9" t="s">
        <v>253</v>
      </c>
      <c r="E23" s="9" t="s">
        <v>288</v>
      </c>
      <c r="F23" s="9" t="s">
        <v>289</v>
      </c>
      <c r="G23" s="9" t="s">
        <v>71</v>
      </c>
      <c r="H23" s="14">
        <v>1017.6</v>
      </c>
      <c r="I23" s="9" t="s">
        <v>236</v>
      </c>
      <c r="J23" s="9" t="s">
        <v>237</v>
      </c>
      <c r="K23" s="9">
        <v>7</v>
      </c>
      <c r="L23" s="9" t="s">
        <v>281</v>
      </c>
      <c r="M23" s="9" t="s">
        <v>239</v>
      </c>
      <c r="N23" s="9" t="s">
        <v>240</v>
      </c>
      <c r="O23" s="9" t="s">
        <v>241</v>
      </c>
      <c r="P23" s="9"/>
      <c r="Q23" s="13"/>
      <c r="R23" s="13"/>
      <c r="S23" s="9" t="s">
        <v>77</v>
      </c>
      <c r="T23" s="9"/>
    </row>
    <row r="24" spans="1:20" ht="15.75" customHeight="1" x14ac:dyDescent="0.35">
      <c r="A24" s="9" t="s">
        <v>290</v>
      </c>
      <c r="B24" s="9" t="s">
        <v>88</v>
      </c>
      <c r="C24" s="9" t="s">
        <v>232</v>
      </c>
      <c r="D24" s="9" t="s">
        <v>291</v>
      </c>
      <c r="E24" s="9" t="s">
        <v>292</v>
      </c>
      <c r="F24" s="9" t="s">
        <v>293</v>
      </c>
      <c r="G24" s="9" t="s">
        <v>71</v>
      </c>
      <c r="H24" s="14" t="s">
        <v>294</v>
      </c>
      <c r="I24" s="9" t="s">
        <v>236</v>
      </c>
      <c r="J24" s="9" t="s">
        <v>237</v>
      </c>
      <c r="K24" s="9">
        <v>15</v>
      </c>
      <c r="L24" s="9" t="s">
        <v>281</v>
      </c>
      <c r="M24" s="9" t="s">
        <v>239</v>
      </c>
      <c r="N24" s="9" t="s">
        <v>240</v>
      </c>
      <c r="O24" s="9" t="s">
        <v>241</v>
      </c>
      <c r="P24" s="9"/>
      <c r="Q24" s="13"/>
      <c r="R24" s="13"/>
      <c r="S24" s="9" t="s">
        <v>77</v>
      </c>
      <c r="T24" s="9"/>
    </row>
    <row r="25" spans="1:20" ht="15.75" customHeight="1" x14ac:dyDescent="0.35">
      <c r="A25" s="9" t="s">
        <v>295</v>
      </c>
      <c r="B25" s="9" t="s">
        <v>88</v>
      </c>
      <c r="C25" s="9" t="s">
        <v>232</v>
      </c>
      <c r="D25" s="9" t="s">
        <v>296</v>
      </c>
      <c r="E25" s="9" t="s">
        <v>297</v>
      </c>
      <c r="F25" s="9" t="s">
        <v>298</v>
      </c>
      <c r="G25" s="9" t="s">
        <v>71</v>
      </c>
      <c r="H25" s="14">
        <v>1296.58</v>
      </c>
      <c r="I25" s="9" t="s">
        <v>236</v>
      </c>
      <c r="J25" s="9" t="s">
        <v>237</v>
      </c>
      <c r="K25" s="9">
        <v>15</v>
      </c>
      <c r="L25" s="9" t="s">
        <v>281</v>
      </c>
      <c r="M25" s="9" t="s">
        <v>239</v>
      </c>
      <c r="N25" s="9" t="s">
        <v>240</v>
      </c>
      <c r="O25" s="9" t="s">
        <v>241</v>
      </c>
      <c r="P25" s="9"/>
      <c r="Q25" s="13"/>
      <c r="R25" s="13"/>
      <c r="S25" s="9" t="s">
        <v>77</v>
      </c>
      <c r="T25" s="9"/>
    </row>
    <row r="26" spans="1:20" ht="15.75" customHeight="1" x14ac:dyDescent="0.35">
      <c r="A26" s="9" t="s">
        <v>299</v>
      </c>
      <c r="B26" s="9" t="s">
        <v>88</v>
      </c>
      <c r="C26" s="9" t="s">
        <v>232</v>
      </c>
      <c r="D26" s="9" t="s">
        <v>296</v>
      </c>
      <c r="E26" s="9" t="s">
        <v>297</v>
      </c>
      <c r="F26" s="9" t="s">
        <v>300</v>
      </c>
      <c r="G26" s="9" t="s">
        <v>71</v>
      </c>
      <c r="H26" s="14">
        <v>1296.58</v>
      </c>
      <c r="I26" s="9" t="s">
        <v>236</v>
      </c>
      <c r="J26" s="9" t="s">
        <v>237</v>
      </c>
      <c r="K26" s="9">
        <v>15</v>
      </c>
      <c r="L26" s="9" t="s">
        <v>281</v>
      </c>
      <c r="M26" s="9" t="s">
        <v>239</v>
      </c>
      <c r="N26" s="9" t="s">
        <v>240</v>
      </c>
      <c r="O26" s="9" t="s">
        <v>241</v>
      </c>
      <c r="P26" s="9"/>
      <c r="Q26" s="13"/>
      <c r="R26" s="13"/>
      <c r="S26" s="9" t="s">
        <v>77</v>
      </c>
      <c r="T26" s="9"/>
    </row>
    <row r="27" spans="1:20" ht="15.75" customHeight="1" x14ac:dyDescent="0.35">
      <c r="A27" s="9" t="s">
        <v>301</v>
      </c>
      <c r="B27" s="9" t="s">
        <v>88</v>
      </c>
      <c r="C27" s="9" t="s">
        <v>232</v>
      </c>
      <c r="D27" s="9" t="s">
        <v>296</v>
      </c>
      <c r="E27" s="9" t="s">
        <v>297</v>
      </c>
      <c r="F27" s="9" t="s">
        <v>302</v>
      </c>
      <c r="G27" s="9" t="s">
        <v>71</v>
      </c>
      <c r="H27" s="14">
        <v>1296.58</v>
      </c>
      <c r="I27" s="9" t="s">
        <v>236</v>
      </c>
      <c r="J27" s="9" t="s">
        <v>237</v>
      </c>
      <c r="K27" s="9">
        <v>15</v>
      </c>
      <c r="L27" s="9" t="s">
        <v>281</v>
      </c>
      <c r="M27" s="9" t="s">
        <v>239</v>
      </c>
      <c r="N27" s="9" t="s">
        <v>240</v>
      </c>
      <c r="O27" s="9" t="s">
        <v>241</v>
      </c>
      <c r="P27" s="9"/>
      <c r="Q27" s="13"/>
      <c r="R27" s="13"/>
      <c r="S27" s="9" t="s">
        <v>77</v>
      </c>
      <c r="T27" s="9"/>
    </row>
    <row r="28" spans="1:20" ht="15.75" customHeight="1" x14ac:dyDescent="0.35">
      <c r="A28" s="9" t="s">
        <v>303</v>
      </c>
      <c r="B28" s="9" t="s">
        <v>88</v>
      </c>
      <c r="C28" s="9" t="s">
        <v>232</v>
      </c>
      <c r="D28" s="9" t="s">
        <v>296</v>
      </c>
      <c r="E28" s="9" t="s">
        <v>297</v>
      </c>
      <c r="F28" s="9" t="s">
        <v>304</v>
      </c>
      <c r="G28" s="9" t="s">
        <v>71</v>
      </c>
      <c r="H28" s="14">
        <v>1296.58</v>
      </c>
      <c r="I28" s="9" t="s">
        <v>236</v>
      </c>
      <c r="J28" s="9" t="s">
        <v>237</v>
      </c>
      <c r="K28" s="30">
        <v>15</v>
      </c>
      <c r="L28" s="9" t="s">
        <v>281</v>
      </c>
      <c r="M28" s="9" t="s">
        <v>239</v>
      </c>
      <c r="N28" s="9" t="s">
        <v>240</v>
      </c>
      <c r="O28" s="9" t="s">
        <v>241</v>
      </c>
      <c r="P28" s="9"/>
      <c r="Q28" s="13"/>
      <c r="R28" s="13"/>
      <c r="S28" s="9" t="s">
        <v>77</v>
      </c>
      <c r="T28" s="9"/>
    </row>
    <row r="29" spans="1:20" ht="15.75" customHeight="1" x14ac:dyDescent="0.35">
      <c r="A29" s="9" t="s">
        <v>305</v>
      </c>
      <c r="B29" s="9" t="s">
        <v>88</v>
      </c>
      <c r="C29" s="9" t="s">
        <v>232</v>
      </c>
      <c r="D29" s="9" t="s">
        <v>296</v>
      </c>
      <c r="E29" s="9" t="s">
        <v>297</v>
      </c>
      <c r="F29" s="9" t="s">
        <v>306</v>
      </c>
      <c r="G29" s="9" t="s">
        <v>71</v>
      </c>
      <c r="H29" s="14">
        <v>968.82</v>
      </c>
      <c r="I29" s="9" t="s">
        <v>236</v>
      </c>
      <c r="J29" s="9" t="s">
        <v>237</v>
      </c>
      <c r="K29" s="30">
        <v>15</v>
      </c>
      <c r="L29" s="9" t="s">
        <v>281</v>
      </c>
      <c r="M29" s="9" t="s">
        <v>239</v>
      </c>
      <c r="N29" s="9" t="s">
        <v>240</v>
      </c>
      <c r="O29" s="9" t="s">
        <v>241</v>
      </c>
      <c r="P29" s="9"/>
      <c r="Q29" s="13"/>
      <c r="R29" s="13"/>
      <c r="S29" s="9" t="s">
        <v>77</v>
      </c>
      <c r="T29" s="9"/>
    </row>
    <row r="30" spans="1:20" ht="15.75" customHeight="1" x14ac:dyDescent="0.35">
      <c r="A30" s="9" t="s">
        <v>307</v>
      </c>
      <c r="B30" s="9" t="s">
        <v>88</v>
      </c>
      <c r="C30" s="9" t="s">
        <v>232</v>
      </c>
      <c r="D30" s="9" t="s">
        <v>308</v>
      </c>
      <c r="E30" s="9" t="s">
        <v>309</v>
      </c>
      <c r="F30" s="9" t="s">
        <v>310</v>
      </c>
      <c r="G30" s="9" t="s">
        <v>71</v>
      </c>
      <c r="H30" s="14">
        <f>146.5*4+109</f>
        <v>695</v>
      </c>
      <c r="I30" s="9" t="s">
        <v>236</v>
      </c>
      <c r="J30" s="9" t="s">
        <v>258</v>
      </c>
      <c r="K30" s="30" t="s">
        <v>114</v>
      </c>
      <c r="L30" s="9" t="s">
        <v>281</v>
      </c>
      <c r="M30" s="9" t="s">
        <v>239</v>
      </c>
      <c r="N30" s="9" t="s">
        <v>240</v>
      </c>
      <c r="O30" s="9" t="s">
        <v>241</v>
      </c>
      <c r="P30" s="9"/>
      <c r="Q30" s="13"/>
      <c r="R30" s="13"/>
      <c r="S30" s="9" t="s">
        <v>77</v>
      </c>
      <c r="T30" s="9"/>
    </row>
    <row r="31" spans="1:20" ht="15.75" customHeight="1" x14ac:dyDescent="0.35">
      <c r="A31" s="9" t="s">
        <v>311</v>
      </c>
      <c r="B31" s="9" t="s">
        <v>88</v>
      </c>
      <c r="C31" s="9" t="s">
        <v>232</v>
      </c>
      <c r="D31" s="9" t="s">
        <v>308</v>
      </c>
      <c r="E31" s="9" t="s">
        <v>312</v>
      </c>
      <c r="F31" s="9" t="s">
        <v>313</v>
      </c>
      <c r="G31" s="9" t="s">
        <v>71</v>
      </c>
      <c r="H31" s="14">
        <f>1057.35*4+811.8</f>
        <v>5041.2</v>
      </c>
      <c r="I31" s="9" t="s">
        <v>236</v>
      </c>
      <c r="J31" s="9" t="s">
        <v>314</v>
      </c>
      <c r="K31" s="30" t="s">
        <v>315</v>
      </c>
      <c r="L31" s="9" t="s">
        <v>281</v>
      </c>
      <c r="M31" s="9" t="s">
        <v>239</v>
      </c>
      <c r="N31" s="9" t="s">
        <v>240</v>
      </c>
      <c r="O31" s="9" t="s">
        <v>241</v>
      </c>
      <c r="P31" s="9"/>
      <c r="Q31" s="13"/>
      <c r="R31" s="13"/>
      <c r="S31" s="9" t="s">
        <v>77</v>
      </c>
      <c r="T31" s="9"/>
    </row>
    <row r="32" spans="1:20" ht="15.75" customHeight="1" x14ac:dyDescent="0.35">
      <c r="A32" s="9" t="s">
        <v>316</v>
      </c>
      <c r="B32" s="9" t="s">
        <v>88</v>
      </c>
      <c r="C32" s="9" t="s">
        <v>232</v>
      </c>
      <c r="D32" s="9" t="s">
        <v>61</v>
      </c>
      <c r="E32" s="9" t="s">
        <v>76</v>
      </c>
      <c r="F32" s="9" t="s">
        <v>257</v>
      </c>
      <c r="G32" s="9" t="s">
        <v>71</v>
      </c>
      <c r="H32" s="14">
        <v>2000</v>
      </c>
      <c r="I32" s="9" t="s">
        <v>236</v>
      </c>
      <c r="J32" s="9" t="s">
        <v>258</v>
      </c>
      <c r="K32" s="30" t="s">
        <v>114</v>
      </c>
      <c r="L32" s="9" t="s">
        <v>238</v>
      </c>
      <c r="M32" s="9" t="s">
        <v>239</v>
      </c>
      <c r="N32" s="9" t="s">
        <v>240</v>
      </c>
      <c r="O32" s="9" t="s">
        <v>241</v>
      </c>
      <c r="P32" s="9"/>
      <c r="Q32" s="13"/>
      <c r="R32" s="13"/>
      <c r="S32" s="9" t="s">
        <v>77</v>
      </c>
      <c r="T32" s="9"/>
    </row>
    <row r="33" spans="1:20" ht="15.75" customHeight="1" x14ac:dyDescent="0.35">
      <c r="A33" s="9" t="s">
        <v>317</v>
      </c>
      <c r="B33" s="9" t="s">
        <v>88</v>
      </c>
      <c r="C33" s="9" t="s">
        <v>232</v>
      </c>
      <c r="D33" s="9" t="s">
        <v>260</v>
      </c>
      <c r="E33" s="9" t="s">
        <v>75</v>
      </c>
      <c r="F33" s="9" t="s">
        <v>261</v>
      </c>
      <c r="G33" s="9" t="s">
        <v>71</v>
      </c>
      <c r="H33" s="14">
        <v>2000</v>
      </c>
      <c r="I33" s="9" t="s">
        <v>236</v>
      </c>
      <c r="J33" s="9" t="s">
        <v>258</v>
      </c>
      <c r="K33" s="30" t="s">
        <v>114</v>
      </c>
      <c r="L33" s="9" t="s">
        <v>238</v>
      </c>
      <c r="M33" s="9" t="s">
        <v>239</v>
      </c>
      <c r="N33" s="9" t="s">
        <v>240</v>
      </c>
      <c r="O33" s="9" t="s">
        <v>241</v>
      </c>
      <c r="P33" s="9"/>
      <c r="Q33" s="13"/>
      <c r="R33" s="13"/>
      <c r="S33" s="9" t="s">
        <v>77</v>
      </c>
      <c r="T33" s="9"/>
    </row>
    <row r="34" spans="1:20" ht="15.75" customHeight="1" x14ac:dyDescent="0.35">
      <c r="A34" s="9" t="s">
        <v>318</v>
      </c>
      <c r="B34" s="9" t="s">
        <v>88</v>
      </c>
      <c r="C34" s="9" t="s">
        <v>232</v>
      </c>
      <c r="D34" s="9" t="s">
        <v>263</v>
      </c>
      <c r="E34" s="9" t="s">
        <v>73</v>
      </c>
      <c r="F34" s="9" t="s">
        <v>264</v>
      </c>
      <c r="G34" s="9" t="s">
        <v>71</v>
      </c>
      <c r="H34" s="14">
        <v>1200</v>
      </c>
      <c r="I34" s="9" t="s">
        <v>236</v>
      </c>
      <c r="J34" s="9" t="s">
        <v>265</v>
      </c>
      <c r="K34" s="30" t="s">
        <v>114</v>
      </c>
      <c r="L34" s="9" t="s">
        <v>238</v>
      </c>
      <c r="M34" s="9" t="s">
        <v>239</v>
      </c>
      <c r="N34" s="9" t="s">
        <v>240</v>
      </c>
      <c r="O34" s="9" t="s">
        <v>241</v>
      </c>
      <c r="P34" s="9"/>
      <c r="Q34" s="13"/>
      <c r="R34" s="13"/>
      <c r="S34" s="9" t="s">
        <v>77</v>
      </c>
      <c r="T34" s="9"/>
    </row>
    <row r="35" spans="1:20" ht="15.75" customHeight="1" x14ac:dyDescent="0.35">
      <c r="A35" s="9" t="s">
        <v>319</v>
      </c>
      <c r="B35" s="9" t="s">
        <v>88</v>
      </c>
      <c r="C35" s="9" t="s">
        <v>232</v>
      </c>
      <c r="D35" s="9" t="s">
        <v>263</v>
      </c>
      <c r="E35" s="9" t="s">
        <v>73</v>
      </c>
      <c r="F35" s="9" t="s">
        <v>267</v>
      </c>
      <c r="G35" s="9" t="s">
        <v>71</v>
      </c>
      <c r="H35" s="14">
        <v>1200</v>
      </c>
      <c r="I35" s="9" t="s">
        <v>236</v>
      </c>
      <c r="J35" s="9" t="s">
        <v>258</v>
      </c>
      <c r="K35" s="30" t="s">
        <v>114</v>
      </c>
      <c r="L35" s="9" t="s">
        <v>238</v>
      </c>
      <c r="M35" s="9" t="s">
        <v>239</v>
      </c>
      <c r="N35" s="9" t="s">
        <v>240</v>
      </c>
      <c r="O35" s="9" t="s">
        <v>241</v>
      </c>
      <c r="P35" s="9"/>
      <c r="Q35" s="13"/>
      <c r="R35" s="13"/>
      <c r="S35" s="9" t="s">
        <v>77</v>
      </c>
      <c r="T35" s="9"/>
    </row>
    <row r="36" spans="1:20" ht="15.75" customHeight="1" x14ac:dyDescent="0.35">
      <c r="A36" s="9" t="s">
        <v>320</v>
      </c>
      <c r="B36" s="9" t="s">
        <v>84</v>
      </c>
      <c r="C36" s="9" t="s">
        <v>232</v>
      </c>
      <c r="D36" s="9" t="s">
        <v>291</v>
      </c>
      <c r="E36" s="9" t="s">
        <v>321</v>
      </c>
      <c r="F36" s="9" t="s">
        <v>322</v>
      </c>
      <c r="G36" s="9" t="s">
        <v>71</v>
      </c>
      <c r="H36" s="14">
        <v>104.95</v>
      </c>
      <c r="I36" s="9" t="s">
        <v>236</v>
      </c>
      <c r="J36" s="9" t="s">
        <v>237</v>
      </c>
      <c r="K36" s="30">
        <v>27</v>
      </c>
      <c r="L36" s="9" t="s">
        <v>281</v>
      </c>
      <c r="M36" s="9" t="s">
        <v>323</v>
      </c>
      <c r="N36" s="9" t="s">
        <v>240</v>
      </c>
      <c r="O36" s="9" t="s">
        <v>241</v>
      </c>
      <c r="P36" s="9"/>
      <c r="Q36" s="13"/>
      <c r="R36" s="13"/>
      <c r="S36" s="9" t="s">
        <v>77</v>
      </c>
      <c r="T36" s="9"/>
    </row>
    <row r="37" spans="1:20" ht="15.75" customHeight="1" x14ac:dyDescent="0.35">
      <c r="A37" s="9" t="s">
        <v>324</v>
      </c>
      <c r="B37" s="9" t="s">
        <v>84</v>
      </c>
      <c r="C37" s="9" t="s">
        <v>232</v>
      </c>
      <c r="D37" s="9" t="s">
        <v>325</v>
      </c>
      <c r="E37" s="9" t="s">
        <v>312</v>
      </c>
      <c r="F37" s="9" t="s">
        <v>326</v>
      </c>
      <c r="G37" s="9" t="s">
        <v>71</v>
      </c>
      <c r="H37" s="14">
        <v>240</v>
      </c>
      <c r="I37" s="9" t="s">
        <v>236</v>
      </c>
      <c r="J37" s="9" t="s">
        <v>258</v>
      </c>
      <c r="K37" s="31" t="s">
        <v>327</v>
      </c>
      <c r="L37" s="9" t="s">
        <v>281</v>
      </c>
      <c r="M37" s="9" t="s">
        <v>323</v>
      </c>
      <c r="N37" s="9" t="s">
        <v>240</v>
      </c>
      <c r="O37" s="9" t="s">
        <v>241</v>
      </c>
      <c r="P37" s="9"/>
      <c r="Q37" s="13"/>
      <c r="R37" s="13"/>
      <c r="S37" s="9" t="s">
        <v>77</v>
      </c>
      <c r="T37" s="9"/>
    </row>
    <row r="38" spans="1:20" ht="15.75" customHeight="1" x14ac:dyDescent="0.35">
      <c r="A38" s="9" t="s">
        <v>328</v>
      </c>
      <c r="B38" s="9" t="s">
        <v>84</v>
      </c>
      <c r="C38" s="9" t="s">
        <v>232</v>
      </c>
      <c r="D38" s="9" t="s">
        <v>61</v>
      </c>
      <c r="E38" s="9" t="s">
        <v>76</v>
      </c>
      <c r="F38" s="9" t="s">
        <v>257</v>
      </c>
      <c r="G38" s="9" t="s">
        <v>71</v>
      </c>
      <c r="H38" s="14">
        <v>2000</v>
      </c>
      <c r="I38" s="9" t="s">
        <v>236</v>
      </c>
      <c r="J38" s="9" t="s">
        <v>258</v>
      </c>
      <c r="K38" s="30" t="s">
        <v>114</v>
      </c>
      <c r="L38" s="9" t="s">
        <v>238</v>
      </c>
      <c r="M38" s="9" t="s">
        <v>323</v>
      </c>
      <c r="N38" s="9" t="s">
        <v>240</v>
      </c>
      <c r="O38" s="9" t="s">
        <v>241</v>
      </c>
      <c r="P38" s="9"/>
      <c r="Q38" s="13"/>
      <c r="R38" s="13"/>
      <c r="S38" s="9" t="s">
        <v>77</v>
      </c>
      <c r="T38" s="9"/>
    </row>
    <row r="39" spans="1:20" ht="15.75" customHeight="1" x14ac:dyDescent="0.35">
      <c r="A39" s="9" t="s">
        <v>329</v>
      </c>
      <c r="B39" s="9" t="s">
        <v>84</v>
      </c>
      <c r="C39" s="9" t="s">
        <v>232</v>
      </c>
      <c r="D39" s="9" t="s">
        <v>260</v>
      </c>
      <c r="E39" s="9" t="s">
        <v>75</v>
      </c>
      <c r="F39" s="9" t="s">
        <v>261</v>
      </c>
      <c r="G39" s="9" t="s">
        <v>71</v>
      </c>
      <c r="H39" s="14">
        <v>2000</v>
      </c>
      <c r="I39" s="9" t="s">
        <v>236</v>
      </c>
      <c r="J39" s="9" t="s">
        <v>258</v>
      </c>
      <c r="K39" s="30" t="s">
        <v>114</v>
      </c>
      <c r="L39" s="9" t="s">
        <v>238</v>
      </c>
      <c r="M39" s="9" t="s">
        <v>323</v>
      </c>
      <c r="N39" s="9" t="s">
        <v>240</v>
      </c>
      <c r="O39" s="9" t="s">
        <v>241</v>
      </c>
      <c r="P39" s="9"/>
      <c r="Q39" s="13"/>
      <c r="R39" s="13"/>
      <c r="S39" s="9" t="s">
        <v>77</v>
      </c>
      <c r="T39" s="9"/>
    </row>
    <row r="40" spans="1:20" ht="15.75" customHeight="1" x14ac:dyDescent="0.35">
      <c r="A40" s="9" t="s">
        <v>330</v>
      </c>
      <c r="B40" s="9" t="s">
        <v>84</v>
      </c>
      <c r="C40" s="9" t="s">
        <v>232</v>
      </c>
      <c r="D40" s="9" t="s">
        <v>263</v>
      </c>
      <c r="E40" s="9" t="s">
        <v>73</v>
      </c>
      <c r="F40" s="9" t="s">
        <v>264</v>
      </c>
      <c r="G40" s="9" t="s">
        <v>71</v>
      </c>
      <c r="H40" s="14">
        <v>1200</v>
      </c>
      <c r="I40" s="9" t="s">
        <v>236</v>
      </c>
      <c r="J40" s="9" t="s">
        <v>265</v>
      </c>
      <c r="K40" s="30" t="s">
        <v>114</v>
      </c>
      <c r="L40" s="9" t="s">
        <v>238</v>
      </c>
      <c r="M40" s="9" t="s">
        <v>323</v>
      </c>
      <c r="N40" s="9" t="s">
        <v>240</v>
      </c>
      <c r="O40" s="9" t="s">
        <v>241</v>
      </c>
      <c r="P40" s="9"/>
      <c r="Q40" s="13"/>
      <c r="R40" s="13"/>
      <c r="S40" s="9" t="s">
        <v>77</v>
      </c>
      <c r="T40" s="9"/>
    </row>
    <row r="41" spans="1:20" ht="15.75" customHeight="1" x14ac:dyDescent="0.35">
      <c r="A41" s="9" t="s">
        <v>331</v>
      </c>
      <c r="B41" s="9" t="s">
        <v>84</v>
      </c>
      <c r="C41" s="9" t="s">
        <v>232</v>
      </c>
      <c r="D41" s="9" t="s">
        <v>263</v>
      </c>
      <c r="E41" s="9" t="s">
        <v>73</v>
      </c>
      <c r="F41" s="9" t="s">
        <v>267</v>
      </c>
      <c r="G41" s="9" t="s">
        <v>71</v>
      </c>
      <c r="H41" s="14">
        <v>1200</v>
      </c>
      <c r="I41" s="9" t="s">
        <v>236</v>
      </c>
      <c r="J41" s="9" t="s">
        <v>258</v>
      </c>
      <c r="K41" s="30" t="s">
        <v>114</v>
      </c>
      <c r="L41" s="9" t="s">
        <v>238</v>
      </c>
      <c r="M41" s="9" t="s">
        <v>323</v>
      </c>
      <c r="N41" s="9" t="s">
        <v>240</v>
      </c>
      <c r="O41" s="9" t="s">
        <v>241</v>
      </c>
      <c r="P41" s="9"/>
      <c r="Q41" s="13"/>
      <c r="R41" s="13"/>
      <c r="S41" s="9" t="s">
        <v>77</v>
      </c>
      <c r="T41" s="9"/>
    </row>
    <row r="42" spans="1:20" ht="15.75" customHeight="1" x14ac:dyDescent="0.35">
      <c r="A42" s="9" t="s">
        <v>332</v>
      </c>
      <c r="B42" s="9" t="s">
        <v>80</v>
      </c>
      <c r="C42" s="9" t="s">
        <v>232</v>
      </c>
      <c r="D42" s="9" t="s">
        <v>61</v>
      </c>
      <c r="E42" s="9" t="s">
        <v>76</v>
      </c>
      <c r="F42" s="9" t="s">
        <v>257</v>
      </c>
      <c r="G42" s="9" t="s">
        <v>71</v>
      </c>
      <c r="H42" s="14">
        <v>2000</v>
      </c>
      <c r="I42" s="9" t="s">
        <v>236</v>
      </c>
      <c r="J42" s="9" t="s">
        <v>258</v>
      </c>
      <c r="K42" s="30" t="s">
        <v>114</v>
      </c>
      <c r="L42" s="9" t="s">
        <v>238</v>
      </c>
      <c r="M42" s="9" t="s">
        <v>323</v>
      </c>
      <c r="N42" s="9" t="s">
        <v>240</v>
      </c>
      <c r="O42" s="9" t="s">
        <v>241</v>
      </c>
      <c r="P42" s="9"/>
      <c r="Q42" s="13"/>
      <c r="R42" s="13"/>
      <c r="S42" s="9" t="s">
        <v>77</v>
      </c>
      <c r="T42" s="9"/>
    </row>
    <row r="43" spans="1:20" ht="15.75" customHeight="1" x14ac:dyDescent="0.35">
      <c r="A43" s="9" t="s">
        <v>333</v>
      </c>
      <c r="B43" s="9" t="s">
        <v>80</v>
      </c>
      <c r="C43" s="9" t="s">
        <v>232</v>
      </c>
      <c r="D43" s="9" t="s">
        <v>260</v>
      </c>
      <c r="E43" s="9" t="s">
        <v>75</v>
      </c>
      <c r="F43" s="9" t="s">
        <v>261</v>
      </c>
      <c r="G43" s="9" t="s">
        <v>71</v>
      </c>
      <c r="H43" s="14">
        <v>2000</v>
      </c>
      <c r="I43" s="9" t="s">
        <v>236</v>
      </c>
      <c r="J43" s="9" t="s">
        <v>258</v>
      </c>
      <c r="K43" s="30" t="s">
        <v>114</v>
      </c>
      <c r="L43" s="9" t="s">
        <v>238</v>
      </c>
      <c r="M43" s="9" t="s">
        <v>323</v>
      </c>
      <c r="N43" s="9" t="s">
        <v>240</v>
      </c>
      <c r="O43" s="9" t="s">
        <v>241</v>
      </c>
      <c r="P43" s="9"/>
      <c r="Q43" s="13"/>
      <c r="R43" s="13"/>
      <c r="S43" s="9" t="s">
        <v>77</v>
      </c>
      <c r="T43" s="9"/>
    </row>
    <row r="44" spans="1:20" ht="15.75" customHeight="1" x14ac:dyDescent="0.35">
      <c r="A44" s="9" t="s">
        <v>334</v>
      </c>
      <c r="B44" s="9" t="s">
        <v>80</v>
      </c>
      <c r="C44" s="9" t="s">
        <v>232</v>
      </c>
      <c r="D44" s="9" t="s">
        <v>263</v>
      </c>
      <c r="E44" s="9" t="s">
        <v>73</v>
      </c>
      <c r="F44" s="9" t="s">
        <v>264</v>
      </c>
      <c r="G44" s="9" t="s">
        <v>71</v>
      </c>
      <c r="H44" s="14">
        <v>1200</v>
      </c>
      <c r="I44" s="9" t="s">
        <v>236</v>
      </c>
      <c r="J44" s="9" t="s">
        <v>265</v>
      </c>
      <c r="K44" s="30" t="s">
        <v>114</v>
      </c>
      <c r="L44" s="9" t="s">
        <v>238</v>
      </c>
      <c r="M44" s="9" t="s">
        <v>323</v>
      </c>
      <c r="N44" s="9" t="s">
        <v>240</v>
      </c>
      <c r="O44" s="9" t="s">
        <v>241</v>
      </c>
      <c r="P44" s="9"/>
      <c r="Q44" s="13"/>
      <c r="R44" s="13"/>
      <c r="S44" s="9" t="s">
        <v>77</v>
      </c>
      <c r="T44" s="9"/>
    </row>
    <row r="45" spans="1:20" ht="15.75" customHeight="1" x14ac:dyDescent="0.35">
      <c r="A45" s="9" t="s">
        <v>335</v>
      </c>
      <c r="B45" s="9" t="s">
        <v>80</v>
      </c>
      <c r="C45" s="9" t="s">
        <v>232</v>
      </c>
      <c r="D45" s="9" t="s">
        <v>263</v>
      </c>
      <c r="E45" s="9" t="s">
        <v>73</v>
      </c>
      <c r="F45" s="9" t="s">
        <v>267</v>
      </c>
      <c r="G45" s="9" t="s">
        <v>71</v>
      </c>
      <c r="H45" s="14">
        <v>1200</v>
      </c>
      <c r="I45" s="9" t="s">
        <v>236</v>
      </c>
      <c r="J45" s="9" t="s">
        <v>258</v>
      </c>
      <c r="K45" s="30" t="s">
        <v>114</v>
      </c>
      <c r="L45" s="9" t="s">
        <v>238</v>
      </c>
      <c r="M45" s="9" t="s">
        <v>323</v>
      </c>
      <c r="N45" s="9" t="s">
        <v>240</v>
      </c>
      <c r="O45" s="9" t="s">
        <v>241</v>
      </c>
      <c r="P45" s="9"/>
      <c r="Q45" s="13"/>
      <c r="R45" s="13"/>
      <c r="S45" s="9" t="s">
        <v>77</v>
      </c>
      <c r="T45" s="9"/>
    </row>
    <row r="46" spans="1:20" ht="15.75" customHeight="1" x14ac:dyDescent="0.35">
      <c r="A46" s="9" t="s">
        <v>336</v>
      </c>
      <c r="B46" s="9" t="s">
        <v>95</v>
      </c>
      <c r="C46" s="9" t="s">
        <v>232</v>
      </c>
      <c r="D46" s="9" t="s">
        <v>61</v>
      </c>
      <c r="E46" s="9" t="s">
        <v>76</v>
      </c>
      <c r="F46" s="9" t="s">
        <v>257</v>
      </c>
      <c r="G46" s="9" t="s">
        <v>71</v>
      </c>
      <c r="H46" s="14">
        <v>2000</v>
      </c>
      <c r="I46" s="9" t="s">
        <v>236</v>
      </c>
      <c r="J46" s="9" t="s">
        <v>258</v>
      </c>
      <c r="K46" s="30" t="s">
        <v>114</v>
      </c>
      <c r="L46" s="9" t="s">
        <v>238</v>
      </c>
      <c r="M46" s="9" t="s">
        <v>337</v>
      </c>
      <c r="N46" s="9" t="s">
        <v>240</v>
      </c>
      <c r="O46" s="9" t="s">
        <v>241</v>
      </c>
      <c r="P46" s="9"/>
      <c r="Q46" s="13"/>
      <c r="R46" s="13"/>
      <c r="S46" s="9" t="s">
        <v>77</v>
      </c>
      <c r="T46" s="9"/>
    </row>
    <row r="47" spans="1:20" ht="15.75" customHeight="1" x14ac:dyDescent="0.35">
      <c r="A47" s="9" t="s">
        <v>338</v>
      </c>
      <c r="B47" s="9" t="s">
        <v>95</v>
      </c>
      <c r="C47" s="9" t="s">
        <v>232</v>
      </c>
      <c r="D47" s="9" t="s">
        <v>260</v>
      </c>
      <c r="E47" s="9" t="s">
        <v>75</v>
      </c>
      <c r="F47" s="9" t="s">
        <v>261</v>
      </c>
      <c r="G47" s="9" t="s">
        <v>71</v>
      </c>
      <c r="H47" s="14">
        <v>2000</v>
      </c>
      <c r="I47" s="9" t="s">
        <v>236</v>
      </c>
      <c r="J47" s="9" t="s">
        <v>258</v>
      </c>
      <c r="K47" s="30" t="s">
        <v>114</v>
      </c>
      <c r="L47" s="9" t="s">
        <v>238</v>
      </c>
      <c r="M47" s="9" t="s">
        <v>337</v>
      </c>
      <c r="N47" s="9" t="s">
        <v>240</v>
      </c>
      <c r="O47" s="9" t="s">
        <v>241</v>
      </c>
      <c r="P47" s="9"/>
      <c r="Q47" s="13"/>
      <c r="R47" s="13"/>
      <c r="S47" s="9" t="s">
        <v>77</v>
      </c>
      <c r="T47" s="9"/>
    </row>
    <row r="48" spans="1:20" ht="15.75" customHeight="1" x14ac:dyDescent="0.35">
      <c r="A48" s="9" t="s">
        <v>339</v>
      </c>
      <c r="B48" s="9" t="s">
        <v>95</v>
      </c>
      <c r="C48" s="9" t="s">
        <v>232</v>
      </c>
      <c r="D48" s="9" t="s">
        <v>263</v>
      </c>
      <c r="E48" s="9" t="s">
        <v>73</v>
      </c>
      <c r="F48" s="9" t="s">
        <v>264</v>
      </c>
      <c r="G48" s="9" t="s">
        <v>71</v>
      </c>
      <c r="H48" s="14">
        <v>1200</v>
      </c>
      <c r="I48" s="9" t="s">
        <v>236</v>
      </c>
      <c r="J48" s="9" t="s">
        <v>265</v>
      </c>
      <c r="K48" s="30" t="s">
        <v>114</v>
      </c>
      <c r="L48" s="9" t="s">
        <v>238</v>
      </c>
      <c r="M48" s="9" t="s">
        <v>337</v>
      </c>
      <c r="N48" s="9" t="s">
        <v>240</v>
      </c>
      <c r="O48" s="9" t="s">
        <v>241</v>
      </c>
      <c r="P48" s="9"/>
      <c r="Q48" s="13"/>
      <c r="R48" s="13"/>
      <c r="S48" s="9" t="s">
        <v>77</v>
      </c>
      <c r="T48" s="9"/>
    </row>
    <row r="49" spans="1:20" ht="15.75" customHeight="1" x14ac:dyDescent="0.35">
      <c r="A49" s="9" t="s">
        <v>340</v>
      </c>
      <c r="B49" s="9" t="s">
        <v>95</v>
      </c>
      <c r="C49" s="9" t="s">
        <v>232</v>
      </c>
      <c r="D49" s="9" t="s">
        <v>263</v>
      </c>
      <c r="E49" s="9" t="s">
        <v>73</v>
      </c>
      <c r="F49" s="9" t="s">
        <v>267</v>
      </c>
      <c r="G49" s="9" t="s">
        <v>71</v>
      </c>
      <c r="H49" s="14">
        <v>1200</v>
      </c>
      <c r="I49" s="9" t="s">
        <v>236</v>
      </c>
      <c r="J49" s="9" t="s">
        <v>258</v>
      </c>
      <c r="K49" s="30" t="s">
        <v>114</v>
      </c>
      <c r="L49" s="9" t="s">
        <v>238</v>
      </c>
      <c r="M49" s="9" t="s">
        <v>337</v>
      </c>
      <c r="N49" s="9" t="s">
        <v>240</v>
      </c>
      <c r="O49" s="9" t="s">
        <v>241</v>
      </c>
      <c r="P49" s="9"/>
      <c r="Q49" s="13"/>
      <c r="R49" s="13"/>
      <c r="S49" s="9" t="s">
        <v>77</v>
      </c>
      <c r="T49" s="9"/>
    </row>
    <row r="50" spans="1:20" ht="15.75" customHeight="1" x14ac:dyDescent="0.35">
      <c r="A50" s="9" t="s">
        <v>341</v>
      </c>
      <c r="B50" s="9" t="s">
        <v>99</v>
      </c>
      <c r="C50" s="9" t="s">
        <v>232</v>
      </c>
      <c r="D50" s="9" t="s">
        <v>61</v>
      </c>
      <c r="E50" s="9" t="s">
        <v>76</v>
      </c>
      <c r="F50" s="9" t="s">
        <v>257</v>
      </c>
      <c r="G50" s="9" t="s">
        <v>71</v>
      </c>
      <c r="H50" s="14">
        <v>2000</v>
      </c>
      <c r="I50" s="9" t="s">
        <v>236</v>
      </c>
      <c r="J50" s="9" t="s">
        <v>258</v>
      </c>
      <c r="K50" s="30" t="s">
        <v>114</v>
      </c>
      <c r="L50" s="9" t="s">
        <v>238</v>
      </c>
      <c r="M50" s="9" t="s">
        <v>239</v>
      </c>
      <c r="N50" s="9" t="s">
        <v>240</v>
      </c>
      <c r="O50" s="9" t="s">
        <v>241</v>
      </c>
      <c r="P50" s="9"/>
      <c r="Q50" s="13"/>
      <c r="R50" s="13"/>
      <c r="S50" s="9" t="s">
        <v>77</v>
      </c>
      <c r="T50" s="9"/>
    </row>
    <row r="51" spans="1:20" ht="15.75" customHeight="1" x14ac:dyDescent="0.35">
      <c r="A51" s="9" t="s">
        <v>342</v>
      </c>
      <c r="B51" s="9" t="s">
        <v>99</v>
      </c>
      <c r="C51" s="9" t="s">
        <v>232</v>
      </c>
      <c r="D51" s="9" t="s">
        <v>260</v>
      </c>
      <c r="E51" s="9" t="s">
        <v>75</v>
      </c>
      <c r="F51" s="9" t="s">
        <v>261</v>
      </c>
      <c r="G51" s="9" t="s">
        <v>71</v>
      </c>
      <c r="H51" s="14">
        <v>2000</v>
      </c>
      <c r="I51" s="9" t="s">
        <v>236</v>
      </c>
      <c r="J51" s="9" t="s">
        <v>258</v>
      </c>
      <c r="K51" s="30" t="s">
        <v>114</v>
      </c>
      <c r="L51" s="9" t="s">
        <v>238</v>
      </c>
      <c r="M51" s="9" t="s">
        <v>239</v>
      </c>
      <c r="N51" s="9" t="s">
        <v>240</v>
      </c>
      <c r="O51" s="9" t="s">
        <v>241</v>
      </c>
      <c r="P51" s="9"/>
      <c r="Q51" s="13"/>
      <c r="R51" s="13"/>
      <c r="S51" s="9" t="s">
        <v>77</v>
      </c>
      <c r="T51" s="9"/>
    </row>
    <row r="52" spans="1:20" ht="15.75" customHeight="1" x14ac:dyDescent="0.35">
      <c r="A52" s="9" t="s">
        <v>343</v>
      </c>
      <c r="B52" s="9" t="s">
        <v>99</v>
      </c>
      <c r="C52" s="9" t="s">
        <v>232</v>
      </c>
      <c r="D52" s="9" t="s">
        <v>263</v>
      </c>
      <c r="E52" s="9" t="s">
        <v>73</v>
      </c>
      <c r="F52" s="9" t="s">
        <v>264</v>
      </c>
      <c r="G52" s="9" t="s">
        <v>71</v>
      </c>
      <c r="H52" s="14">
        <v>1200</v>
      </c>
      <c r="I52" s="9" t="s">
        <v>236</v>
      </c>
      <c r="J52" s="9" t="s">
        <v>265</v>
      </c>
      <c r="K52" s="30" t="s">
        <v>114</v>
      </c>
      <c r="L52" s="9" t="s">
        <v>238</v>
      </c>
      <c r="M52" s="9" t="s">
        <v>239</v>
      </c>
      <c r="N52" s="9" t="s">
        <v>240</v>
      </c>
      <c r="O52" s="9" t="s">
        <v>241</v>
      </c>
      <c r="P52" s="9"/>
      <c r="Q52" s="13"/>
      <c r="R52" s="13"/>
      <c r="S52" s="9" t="s">
        <v>77</v>
      </c>
      <c r="T52" s="9"/>
    </row>
    <row r="53" spans="1:20" ht="15.75" customHeight="1" x14ac:dyDescent="0.35">
      <c r="A53" s="9" t="s">
        <v>344</v>
      </c>
      <c r="B53" s="9" t="s">
        <v>99</v>
      </c>
      <c r="C53" s="9" t="s">
        <v>232</v>
      </c>
      <c r="D53" s="9" t="s">
        <v>263</v>
      </c>
      <c r="E53" s="9" t="s">
        <v>73</v>
      </c>
      <c r="F53" s="9" t="s">
        <v>267</v>
      </c>
      <c r="G53" s="9" t="s">
        <v>71</v>
      </c>
      <c r="H53" s="14">
        <v>1200</v>
      </c>
      <c r="I53" s="9" t="s">
        <v>236</v>
      </c>
      <c r="J53" s="9" t="s">
        <v>258</v>
      </c>
      <c r="K53" s="30" t="s">
        <v>114</v>
      </c>
      <c r="L53" s="9" t="s">
        <v>238</v>
      </c>
      <c r="M53" s="9" t="s">
        <v>239</v>
      </c>
      <c r="N53" s="9" t="s">
        <v>240</v>
      </c>
      <c r="O53" s="9" t="s">
        <v>241</v>
      </c>
      <c r="P53" s="9"/>
      <c r="Q53" s="13"/>
      <c r="R53" s="13"/>
      <c r="S53" s="9" t="s">
        <v>77</v>
      </c>
      <c r="T53" s="9"/>
    </row>
    <row r="54" spans="1:20" ht="15.75" customHeight="1" x14ac:dyDescent="0.35">
      <c r="A54" s="9" t="s">
        <v>345</v>
      </c>
      <c r="B54" s="9" t="s">
        <v>103</v>
      </c>
      <c r="C54" s="9" t="s">
        <v>232</v>
      </c>
      <c r="D54" s="9" t="s">
        <v>61</v>
      </c>
      <c r="E54" s="9" t="s">
        <v>76</v>
      </c>
      <c r="F54" s="9" t="s">
        <v>257</v>
      </c>
      <c r="G54" s="9" t="s">
        <v>71</v>
      </c>
      <c r="H54" s="14">
        <v>2000</v>
      </c>
      <c r="I54" s="9" t="s">
        <v>236</v>
      </c>
      <c r="J54" s="9" t="s">
        <v>258</v>
      </c>
      <c r="K54" s="30" t="s">
        <v>114</v>
      </c>
      <c r="L54" s="9" t="s">
        <v>238</v>
      </c>
      <c r="M54" s="9" t="s">
        <v>323</v>
      </c>
      <c r="N54" s="9" t="s">
        <v>240</v>
      </c>
      <c r="O54" s="9" t="s">
        <v>241</v>
      </c>
      <c r="P54" s="9"/>
      <c r="Q54" s="13"/>
      <c r="R54" s="13"/>
      <c r="S54" s="9" t="s">
        <v>77</v>
      </c>
      <c r="T54" s="9"/>
    </row>
    <row r="55" spans="1:20" ht="15.75" customHeight="1" x14ac:dyDescent="0.35">
      <c r="A55" s="9" t="s">
        <v>346</v>
      </c>
      <c r="B55" s="9" t="s">
        <v>103</v>
      </c>
      <c r="C55" s="9" t="s">
        <v>232</v>
      </c>
      <c r="D55" s="9" t="s">
        <v>260</v>
      </c>
      <c r="E55" s="9" t="s">
        <v>75</v>
      </c>
      <c r="F55" s="9" t="s">
        <v>261</v>
      </c>
      <c r="G55" s="9" t="s">
        <v>71</v>
      </c>
      <c r="H55" s="14">
        <v>2000</v>
      </c>
      <c r="I55" s="9" t="s">
        <v>236</v>
      </c>
      <c r="J55" s="9" t="s">
        <v>258</v>
      </c>
      <c r="K55" s="30" t="s">
        <v>114</v>
      </c>
      <c r="L55" s="9" t="s">
        <v>238</v>
      </c>
      <c r="M55" s="9" t="s">
        <v>323</v>
      </c>
      <c r="N55" s="9" t="s">
        <v>240</v>
      </c>
      <c r="O55" s="9" t="s">
        <v>241</v>
      </c>
      <c r="P55" s="9"/>
      <c r="Q55" s="13"/>
      <c r="R55" s="13"/>
      <c r="S55" s="9" t="s">
        <v>77</v>
      </c>
      <c r="T55" s="9"/>
    </row>
    <row r="56" spans="1:20" ht="15.75" customHeight="1" x14ac:dyDescent="0.35">
      <c r="A56" s="9" t="s">
        <v>347</v>
      </c>
      <c r="B56" s="9" t="s">
        <v>103</v>
      </c>
      <c r="C56" s="9" t="s">
        <v>232</v>
      </c>
      <c r="D56" s="9" t="s">
        <v>263</v>
      </c>
      <c r="E56" s="9" t="s">
        <v>73</v>
      </c>
      <c r="F56" s="9" t="s">
        <v>264</v>
      </c>
      <c r="G56" s="9" t="s">
        <v>71</v>
      </c>
      <c r="H56" s="14">
        <v>1200</v>
      </c>
      <c r="I56" s="9" t="s">
        <v>236</v>
      </c>
      <c r="J56" s="9" t="s">
        <v>265</v>
      </c>
      <c r="K56" s="30" t="s">
        <v>114</v>
      </c>
      <c r="L56" s="9" t="s">
        <v>238</v>
      </c>
      <c r="M56" s="9" t="s">
        <v>323</v>
      </c>
      <c r="N56" s="9" t="s">
        <v>240</v>
      </c>
      <c r="O56" s="9" t="s">
        <v>241</v>
      </c>
      <c r="P56" s="9"/>
      <c r="Q56" s="13"/>
      <c r="R56" s="13"/>
      <c r="S56" s="9" t="s">
        <v>77</v>
      </c>
      <c r="T56" s="9"/>
    </row>
    <row r="57" spans="1:20" ht="15.75" customHeight="1" x14ac:dyDescent="0.35">
      <c r="A57" s="9" t="s">
        <v>348</v>
      </c>
      <c r="B57" s="9" t="s">
        <v>103</v>
      </c>
      <c r="C57" s="9" t="s">
        <v>232</v>
      </c>
      <c r="D57" s="9" t="s">
        <v>263</v>
      </c>
      <c r="E57" s="9" t="s">
        <v>73</v>
      </c>
      <c r="F57" s="9" t="s">
        <v>267</v>
      </c>
      <c r="G57" s="9" t="s">
        <v>71</v>
      </c>
      <c r="H57" s="14">
        <v>1200</v>
      </c>
      <c r="I57" s="9" t="s">
        <v>236</v>
      </c>
      <c r="J57" s="9" t="s">
        <v>258</v>
      </c>
      <c r="K57" s="30" t="s">
        <v>114</v>
      </c>
      <c r="L57" s="9" t="s">
        <v>238</v>
      </c>
      <c r="M57" s="9" t="s">
        <v>323</v>
      </c>
      <c r="N57" s="9" t="s">
        <v>240</v>
      </c>
      <c r="O57" s="9" t="s">
        <v>241</v>
      </c>
      <c r="P57" s="9"/>
      <c r="Q57" s="13"/>
      <c r="R57" s="13"/>
      <c r="S57" s="9" t="s">
        <v>77</v>
      </c>
      <c r="T57" s="9"/>
    </row>
    <row r="58" spans="1:20" ht="15.75" customHeight="1" x14ac:dyDescent="0.35">
      <c r="A58" s="9" t="s">
        <v>349</v>
      </c>
      <c r="B58" s="9" t="s">
        <v>108</v>
      </c>
      <c r="C58" s="9" t="s">
        <v>232</v>
      </c>
      <c r="D58" s="9" t="s">
        <v>61</v>
      </c>
      <c r="E58" s="9" t="s">
        <v>76</v>
      </c>
      <c r="F58" s="9" t="s">
        <v>257</v>
      </c>
      <c r="G58" s="9" t="s">
        <v>71</v>
      </c>
      <c r="H58" s="14">
        <v>2000</v>
      </c>
      <c r="I58" s="9" t="s">
        <v>236</v>
      </c>
      <c r="J58" s="9" t="s">
        <v>258</v>
      </c>
      <c r="K58" s="30" t="s">
        <v>114</v>
      </c>
      <c r="L58" s="9" t="s">
        <v>238</v>
      </c>
      <c r="M58" s="9" t="s">
        <v>323</v>
      </c>
      <c r="N58" s="9" t="s">
        <v>240</v>
      </c>
      <c r="O58" s="9" t="s">
        <v>241</v>
      </c>
      <c r="P58" s="9"/>
      <c r="Q58" s="13"/>
      <c r="R58" s="13"/>
      <c r="S58" s="9" t="s">
        <v>77</v>
      </c>
      <c r="T58" s="9"/>
    </row>
    <row r="59" spans="1:20" ht="15.75" customHeight="1" x14ac:dyDescent="0.35">
      <c r="A59" s="9" t="s">
        <v>350</v>
      </c>
      <c r="B59" s="9" t="s">
        <v>108</v>
      </c>
      <c r="C59" s="9" t="s">
        <v>232</v>
      </c>
      <c r="D59" s="9" t="s">
        <v>260</v>
      </c>
      <c r="E59" s="9" t="s">
        <v>75</v>
      </c>
      <c r="F59" s="9" t="s">
        <v>261</v>
      </c>
      <c r="G59" s="9" t="s">
        <v>71</v>
      </c>
      <c r="H59" s="14">
        <v>2000</v>
      </c>
      <c r="I59" s="9" t="s">
        <v>236</v>
      </c>
      <c r="J59" s="9" t="s">
        <v>258</v>
      </c>
      <c r="K59" s="30" t="s">
        <v>114</v>
      </c>
      <c r="L59" s="9" t="s">
        <v>238</v>
      </c>
      <c r="M59" s="9" t="s">
        <v>323</v>
      </c>
      <c r="N59" s="9" t="s">
        <v>240</v>
      </c>
      <c r="O59" s="9" t="s">
        <v>241</v>
      </c>
      <c r="P59" s="9"/>
      <c r="Q59" s="13"/>
      <c r="R59" s="13"/>
      <c r="S59" s="9" t="s">
        <v>77</v>
      </c>
      <c r="T59" s="9"/>
    </row>
    <row r="60" spans="1:20" ht="15.75" customHeight="1" x14ac:dyDescent="0.35">
      <c r="A60" s="9" t="s">
        <v>351</v>
      </c>
      <c r="B60" s="9" t="s">
        <v>108</v>
      </c>
      <c r="C60" s="9" t="s">
        <v>232</v>
      </c>
      <c r="D60" s="9" t="s">
        <v>263</v>
      </c>
      <c r="E60" s="9" t="s">
        <v>73</v>
      </c>
      <c r="F60" s="9" t="s">
        <v>264</v>
      </c>
      <c r="G60" s="9" t="s">
        <v>71</v>
      </c>
      <c r="H60" s="14">
        <v>1200</v>
      </c>
      <c r="I60" s="9" t="s">
        <v>236</v>
      </c>
      <c r="J60" s="9" t="s">
        <v>265</v>
      </c>
      <c r="K60" s="30" t="s">
        <v>114</v>
      </c>
      <c r="L60" s="9" t="s">
        <v>238</v>
      </c>
      <c r="M60" s="9" t="s">
        <v>323</v>
      </c>
      <c r="N60" s="9" t="s">
        <v>240</v>
      </c>
      <c r="O60" s="9" t="s">
        <v>241</v>
      </c>
      <c r="P60" s="9"/>
      <c r="Q60" s="13"/>
      <c r="R60" s="13"/>
      <c r="S60" s="9" t="s">
        <v>77</v>
      </c>
      <c r="T60" s="9"/>
    </row>
    <row r="61" spans="1:20" ht="15.75" customHeight="1" x14ac:dyDescent="0.35">
      <c r="A61" s="9" t="s">
        <v>352</v>
      </c>
      <c r="B61" s="9" t="s">
        <v>108</v>
      </c>
      <c r="C61" s="9" t="s">
        <v>232</v>
      </c>
      <c r="D61" s="9" t="s">
        <v>263</v>
      </c>
      <c r="E61" s="9" t="s">
        <v>73</v>
      </c>
      <c r="F61" s="9" t="s">
        <v>267</v>
      </c>
      <c r="G61" s="9" t="s">
        <v>71</v>
      </c>
      <c r="H61" s="14">
        <v>1200</v>
      </c>
      <c r="I61" s="9" t="s">
        <v>236</v>
      </c>
      <c r="J61" s="9" t="s">
        <v>258</v>
      </c>
      <c r="K61" s="30" t="s">
        <v>114</v>
      </c>
      <c r="L61" s="9" t="s">
        <v>238</v>
      </c>
      <c r="M61" s="9" t="s">
        <v>323</v>
      </c>
      <c r="N61" s="9" t="s">
        <v>240</v>
      </c>
      <c r="O61" s="9" t="s">
        <v>241</v>
      </c>
      <c r="P61" s="9"/>
      <c r="Q61" s="13"/>
      <c r="R61" s="13"/>
      <c r="S61" s="9" t="s">
        <v>77</v>
      </c>
      <c r="T61" s="9"/>
    </row>
    <row r="62" spans="1:20" ht="15.75" customHeight="1" x14ac:dyDescent="0.35">
      <c r="A62" s="9" t="s">
        <v>353</v>
      </c>
      <c r="B62" s="9" t="s">
        <v>112</v>
      </c>
      <c r="C62" s="9" t="s">
        <v>232</v>
      </c>
      <c r="D62" s="9" t="s">
        <v>354</v>
      </c>
      <c r="E62" s="9" t="s">
        <v>355</v>
      </c>
      <c r="F62" s="9" t="s">
        <v>356</v>
      </c>
      <c r="G62" s="9" t="s">
        <v>92</v>
      </c>
      <c r="H62" s="14">
        <f>3280</f>
        <v>3280</v>
      </c>
      <c r="I62" s="9" t="s">
        <v>236</v>
      </c>
      <c r="J62" s="9" t="s">
        <v>237</v>
      </c>
      <c r="K62" s="9">
        <v>15</v>
      </c>
      <c r="L62" s="9" t="s">
        <v>238</v>
      </c>
      <c r="M62" s="9" t="s">
        <v>357</v>
      </c>
      <c r="N62" s="9" t="s">
        <v>240</v>
      </c>
      <c r="O62" s="9" t="s">
        <v>206</v>
      </c>
      <c r="P62" s="9"/>
      <c r="Q62" s="13"/>
      <c r="R62" s="13"/>
      <c r="S62" s="9" t="s">
        <v>77</v>
      </c>
      <c r="T62" s="9"/>
    </row>
    <row r="63" spans="1:20" ht="15.75" customHeight="1" x14ac:dyDescent="0.35">
      <c r="A63" s="9" t="s">
        <v>358</v>
      </c>
      <c r="B63" s="9" t="s">
        <v>112</v>
      </c>
      <c r="C63" s="9" t="s">
        <v>232</v>
      </c>
      <c r="D63" s="9" t="s">
        <v>359</v>
      </c>
      <c r="E63" s="9" t="s">
        <v>360</v>
      </c>
      <c r="F63" s="9" t="s">
        <v>361</v>
      </c>
      <c r="G63" s="9" t="s">
        <v>92</v>
      </c>
      <c r="H63" s="14">
        <v>1862</v>
      </c>
      <c r="I63" s="9" t="s">
        <v>236</v>
      </c>
      <c r="J63" s="9" t="s">
        <v>237</v>
      </c>
      <c r="K63" s="9">
        <v>15</v>
      </c>
      <c r="L63" s="9" t="s">
        <v>238</v>
      </c>
      <c r="M63" s="9" t="s">
        <v>357</v>
      </c>
      <c r="N63" s="9" t="s">
        <v>240</v>
      </c>
      <c r="O63" s="9" t="s">
        <v>206</v>
      </c>
      <c r="P63" s="9"/>
      <c r="Q63" s="13"/>
      <c r="R63" s="13"/>
      <c r="S63" s="9" t="s">
        <v>77</v>
      </c>
      <c r="T63" s="9"/>
    </row>
    <row r="64" spans="1:20" ht="15.75" customHeight="1" x14ac:dyDescent="0.35">
      <c r="A64" s="9" t="s">
        <v>362</v>
      </c>
      <c r="B64" s="9" t="s">
        <v>112</v>
      </c>
      <c r="C64" s="9" t="s">
        <v>232</v>
      </c>
      <c r="D64" s="9" t="s">
        <v>359</v>
      </c>
      <c r="E64" s="9" t="s">
        <v>363</v>
      </c>
      <c r="F64" s="9" t="s">
        <v>364</v>
      </c>
      <c r="G64" s="9" t="s">
        <v>92</v>
      </c>
      <c r="H64" s="14">
        <v>2136</v>
      </c>
      <c r="I64" s="9" t="s">
        <v>236</v>
      </c>
      <c r="J64" s="9" t="s">
        <v>237</v>
      </c>
      <c r="K64" s="9">
        <v>15</v>
      </c>
      <c r="L64" s="9" t="s">
        <v>238</v>
      </c>
      <c r="M64" s="9" t="s">
        <v>357</v>
      </c>
      <c r="N64" s="9" t="s">
        <v>240</v>
      </c>
      <c r="O64" s="9" t="s">
        <v>206</v>
      </c>
      <c r="P64" s="9"/>
      <c r="Q64" s="13"/>
      <c r="R64" s="13"/>
      <c r="S64" s="9" t="s">
        <v>77</v>
      </c>
      <c r="T64" s="9"/>
    </row>
    <row r="65" spans="1:20" ht="15.75" customHeight="1" x14ac:dyDescent="0.35">
      <c r="A65" s="9" t="s">
        <v>365</v>
      </c>
      <c r="B65" s="9" t="s">
        <v>112</v>
      </c>
      <c r="C65" s="9" t="s">
        <v>232</v>
      </c>
      <c r="D65" s="9" t="s">
        <v>366</v>
      </c>
      <c r="E65" s="9" t="s">
        <v>367</v>
      </c>
      <c r="F65" s="9" t="s">
        <v>368</v>
      </c>
      <c r="G65" s="9" t="s">
        <v>92</v>
      </c>
      <c r="H65" s="14">
        <f>4608+180+4158</f>
        <v>8946</v>
      </c>
      <c r="I65" s="9" t="s">
        <v>236</v>
      </c>
      <c r="J65" s="9" t="s">
        <v>265</v>
      </c>
      <c r="K65" s="9">
        <v>15</v>
      </c>
      <c r="L65" s="9" t="s">
        <v>238</v>
      </c>
      <c r="M65" s="9" t="s">
        <v>357</v>
      </c>
      <c r="N65" s="9" t="s">
        <v>240</v>
      </c>
      <c r="O65" s="9" t="s">
        <v>206</v>
      </c>
      <c r="P65" s="9"/>
      <c r="Q65" s="13"/>
      <c r="R65" s="13"/>
      <c r="S65" s="9" t="s">
        <v>77</v>
      </c>
      <c r="T65" s="9"/>
    </row>
    <row r="66" spans="1:20" ht="15.75" customHeight="1" x14ac:dyDescent="0.35">
      <c r="A66" s="9" t="s">
        <v>369</v>
      </c>
      <c r="B66" s="9" t="s">
        <v>112</v>
      </c>
      <c r="C66" s="9" t="s">
        <v>269</v>
      </c>
      <c r="D66" s="9" t="s">
        <v>270</v>
      </c>
      <c r="E66" s="9" t="s">
        <v>169</v>
      </c>
      <c r="F66" s="9" t="s">
        <v>370</v>
      </c>
      <c r="G66" s="9" t="s">
        <v>92</v>
      </c>
      <c r="H66" s="14">
        <v>25000</v>
      </c>
      <c r="I66" s="9" t="s">
        <v>236</v>
      </c>
      <c r="J66" s="9" t="s">
        <v>237</v>
      </c>
      <c r="K66" s="30">
        <v>15</v>
      </c>
      <c r="L66" s="9" t="s">
        <v>238</v>
      </c>
      <c r="M66" s="9" t="s">
        <v>357</v>
      </c>
      <c r="N66" s="9" t="s">
        <v>240</v>
      </c>
      <c r="O66" s="9" t="s">
        <v>206</v>
      </c>
      <c r="P66" s="9"/>
      <c r="Q66" s="13"/>
      <c r="R66" s="13"/>
      <c r="S66" s="9" t="s">
        <v>77</v>
      </c>
      <c r="T66" s="9"/>
    </row>
    <row r="67" spans="1:20" ht="15.75" customHeight="1" x14ac:dyDescent="0.35">
      <c r="A67" s="9" t="s">
        <v>371</v>
      </c>
      <c r="B67" s="9" t="s">
        <v>112</v>
      </c>
      <c r="C67" s="9" t="s">
        <v>269</v>
      </c>
      <c r="D67" s="9" t="s">
        <v>270</v>
      </c>
      <c r="E67" s="9" t="s">
        <v>176</v>
      </c>
      <c r="F67" s="9" t="s">
        <v>372</v>
      </c>
      <c r="G67" s="9" t="s">
        <v>92</v>
      </c>
      <c r="H67" s="14">
        <v>41000</v>
      </c>
      <c r="I67" s="9" t="s">
        <v>236</v>
      </c>
      <c r="J67" s="9" t="s">
        <v>237</v>
      </c>
      <c r="K67" s="30">
        <v>15</v>
      </c>
      <c r="L67" s="9" t="s">
        <v>238</v>
      </c>
      <c r="M67" s="9" t="s">
        <v>357</v>
      </c>
      <c r="N67" s="9" t="s">
        <v>240</v>
      </c>
      <c r="O67" s="9" t="s">
        <v>206</v>
      </c>
      <c r="P67" s="9"/>
      <c r="Q67" s="13"/>
      <c r="R67" s="13"/>
      <c r="S67" s="9" t="s">
        <v>77</v>
      </c>
      <c r="T67" s="9"/>
    </row>
    <row r="68" spans="1:20" ht="14.25" customHeight="1" x14ac:dyDescent="0.35">
      <c r="A68" s="9" t="s">
        <v>373</v>
      </c>
      <c r="B68" s="9" t="s">
        <v>118</v>
      </c>
      <c r="C68" s="9" t="s">
        <v>232</v>
      </c>
      <c r="D68" s="9" t="s">
        <v>374</v>
      </c>
      <c r="E68" s="9" t="s">
        <v>375</v>
      </c>
      <c r="F68" s="9" t="s">
        <v>376</v>
      </c>
      <c r="G68" s="9" t="s">
        <v>121</v>
      </c>
      <c r="H68" s="14">
        <v>2377</v>
      </c>
      <c r="I68" s="9" t="s">
        <v>236</v>
      </c>
      <c r="J68" s="9" t="s">
        <v>258</v>
      </c>
      <c r="K68" s="30" t="s">
        <v>114</v>
      </c>
      <c r="L68" s="9" t="s">
        <v>238</v>
      </c>
      <c r="M68" s="9" t="s">
        <v>377</v>
      </c>
      <c r="N68" s="9" t="s">
        <v>240</v>
      </c>
      <c r="O68" s="9" t="s">
        <v>206</v>
      </c>
      <c r="P68" s="9"/>
      <c r="Q68" s="13"/>
      <c r="R68" s="13"/>
      <c r="S68" s="9" t="s">
        <v>77</v>
      </c>
      <c r="T68" s="9"/>
    </row>
    <row r="69" spans="1:20" ht="14.25" customHeight="1" x14ac:dyDescent="0.35">
      <c r="A69" s="9" t="s">
        <v>378</v>
      </c>
      <c r="B69" s="9" t="s">
        <v>118</v>
      </c>
      <c r="C69" s="9" t="s">
        <v>232</v>
      </c>
      <c r="D69" s="9" t="s">
        <v>379</v>
      </c>
      <c r="E69" s="9" t="s">
        <v>375</v>
      </c>
      <c r="F69" s="9" t="s">
        <v>380</v>
      </c>
      <c r="G69" s="9" t="s">
        <v>121</v>
      </c>
      <c r="H69" s="14">
        <v>220</v>
      </c>
      <c r="I69" s="9" t="s">
        <v>236</v>
      </c>
      <c r="J69" s="9" t="s">
        <v>258</v>
      </c>
      <c r="K69" s="30" t="s">
        <v>114</v>
      </c>
      <c r="L69" s="9" t="s">
        <v>238</v>
      </c>
      <c r="M69" s="9" t="s">
        <v>377</v>
      </c>
      <c r="N69" s="9" t="s">
        <v>240</v>
      </c>
      <c r="O69" s="9" t="s">
        <v>206</v>
      </c>
      <c r="P69" s="9"/>
      <c r="Q69" s="13"/>
      <c r="R69" s="13"/>
      <c r="S69" s="9" t="s">
        <v>77</v>
      </c>
      <c r="T69" s="9"/>
    </row>
    <row r="70" spans="1:20" ht="14.25" customHeight="1" x14ac:dyDescent="0.35">
      <c r="A70" s="9"/>
      <c r="B70" s="9"/>
      <c r="C70" s="9"/>
      <c r="D70" s="9"/>
      <c r="E70" s="9"/>
      <c r="F70" s="9"/>
      <c r="G70" s="9"/>
      <c r="H70" s="14"/>
      <c r="I70" s="9"/>
      <c r="J70" s="9"/>
      <c r="K70" s="9"/>
      <c r="L70" s="9"/>
      <c r="M70" s="9"/>
      <c r="N70" s="9"/>
      <c r="O70" s="9"/>
      <c r="P70" s="9"/>
      <c r="Q70" s="13"/>
      <c r="R70" s="13"/>
      <c r="S70" s="9"/>
      <c r="T70" s="9"/>
    </row>
    <row r="71" spans="1:20" ht="14.25" customHeight="1" x14ac:dyDescent="0.35">
      <c r="A71" s="9"/>
      <c r="B71" s="9"/>
      <c r="C71" s="9"/>
      <c r="D71" s="9"/>
      <c r="E71" s="9"/>
      <c r="F71" s="9"/>
      <c r="G71" s="9"/>
      <c r="H71" s="14"/>
      <c r="I71" s="9"/>
      <c r="J71" s="9"/>
      <c r="K71" s="9"/>
      <c r="L71" s="9"/>
      <c r="M71" s="9"/>
      <c r="N71" s="9"/>
      <c r="O71" s="9"/>
      <c r="P71" s="9"/>
      <c r="Q71" s="13"/>
      <c r="R71" s="13"/>
      <c r="S71" s="9"/>
      <c r="T71" s="9"/>
    </row>
    <row r="72" spans="1:20" ht="14.25" customHeight="1" x14ac:dyDescent="0.35">
      <c r="A72" s="9"/>
      <c r="B72" s="9"/>
      <c r="C72" s="9"/>
      <c r="D72" s="9"/>
      <c r="E72" s="9"/>
      <c r="F72" s="9"/>
      <c r="G72" s="9"/>
      <c r="H72" s="14"/>
      <c r="I72" s="9"/>
      <c r="J72" s="9"/>
      <c r="K72" s="9"/>
      <c r="L72" s="9"/>
      <c r="M72" s="9"/>
      <c r="N72" s="9"/>
      <c r="O72" s="9"/>
      <c r="P72" s="9"/>
      <c r="Q72" s="13"/>
      <c r="R72" s="13"/>
      <c r="S72" s="9"/>
      <c r="T72" s="9"/>
    </row>
    <row r="73" spans="1:20" ht="14.25" customHeight="1" x14ac:dyDescent="0.35">
      <c r="A73" s="9"/>
      <c r="B73" s="9"/>
      <c r="C73" s="9"/>
      <c r="D73" s="9"/>
      <c r="E73" s="9"/>
      <c r="F73" s="9"/>
      <c r="G73" s="9"/>
      <c r="H73" s="14"/>
      <c r="I73" s="9"/>
      <c r="J73" s="9"/>
      <c r="K73" s="9"/>
      <c r="L73" s="9"/>
      <c r="M73" s="9"/>
      <c r="N73" s="9"/>
      <c r="O73" s="9"/>
      <c r="P73" s="9"/>
      <c r="Q73" s="13"/>
      <c r="R73" s="13"/>
      <c r="S73" s="9"/>
      <c r="T73" s="9"/>
    </row>
    <row r="74" spans="1:20" ht="14.25" customHeight="1" x14ac:dyDescent="0.35">
      <c r="A74" s="9"/>
      <c r="B74" s="9"/>
      <c r="C74" s="9"/>
      <c r="D74" s="9"/>
      <c r="E74" s="9"/>
      <c r="F74" s="9"/>
      <c r="G74" s="9"/>
      <c r="H74" s="14"/>
      <c r="I74" s="9"/>
      <c r="J74" s="9"/>
      <c r="K74" s="9"/>
      <c r="L74" s="9"/>
      <c r="M74" s="9"/>
      <c r="N74" s="9"/>
      <c r="O74" s="9"/>
      <c r="P74" s="9"/>
      <c r="Q74" s="13"/>
      <c r="R74" s="13"/>
      <c r="S74" s="9"/>
      <c r="T74" s="9"/>
    </row>
    <row r="75" spans="1:20" ht="14.25" customHeight="1" x14ac:dyDescent="0.35">
      <c r="A75" s="9"/>
      <c r="B75" s="9"/>
      <c r="C75" s="9"/>
      <c r="D75" s="9"/>
      <c r="E75" s="9"/>
      <c r="F75" s="9"/>
      <c r="G75" s="9"/>
      <c r="H75" s="14"/>
      <c r="I75" s="9"/>
      <c r="J75" s="9"/>
      <c r="K75" s="9"/>
      <c r="L75" s="9"/>
      <c r="M75" s="9"/>
      <c r="N75" s="9"/>
      <c r="O75" s="9"/>
      <c r="P75" s="9"/>
      <c r="Q75" s="13"/>
      <c r="R75" s="13"/>
      <c r="S75" s="9"/>
      <c r="T75" s="9"/>
    </row>
    <row r="76" spans="1:20" ht="14.25" customHeight="1" x14ac:dyDescent="0.35">
      <c r="A76" s="9"/>
      <c r="B76" s="9"/>
      <c r="C76" s="9"/>
      <c r="D76" s="9"/>
      <c r="E76" s="9"/>
      <c r="F76" s="9"/>
      <c r="G76" s="9"/>
      <c r="H76" s="14"/>
      <c r="I76" s="9"/>
      <c r="J76" s="9"/>
      <c r="K76" s="9"/>
      <c r="L76" s="9"/>
      <c r="M76" s="9"/>
      <c r="N76" s="9"/>
      <c r="O76" s="9"/>
      <c r="P76" s="9"/>
      <c r="Q76" s="13"/>
      <c r="R76" s="13"/>
      <c r="S76" s="9"/>
      <c r="T76" s="9"/>
    </row>
    <row r="77" spans="1:20" ht="14.25" customHeight="1" x14ac:dyDescent="0.35">
      <c r="A77" s="9"/>
      <c r="B77" s="9"/>
      <c r="C77" s="9"/>
      <c r="D77" s="9"/>
      <c r="E77" s="9"/>
      <c r="F77" s="9"/>
      <c r="G77" s="9"/>
      <c r="H77" s="14"/>
      <c r="I77" s="9"/>
      <c r="J77" s="9"/>
      <c r="K77" s="9"/>
      <c r="L77" s="9"/>
      <c r="M77" s="9"/>
      <c r="N77" s="9"/>
      <c r="O77" s="9"/>
      <c r="P77" s="9"/>
      <c r="Q77" s="13"/>
      <c r="R77" s="13"/>
      <c r="S77" s="9"/>
      <c r="T77" s="9"/>
    </row>
    <row r="78" spans="1:20" ht="14.25" customHeight="1" x14ac:dyDescent="0.35">
      <c r="A78" s="9"/>
      <c r="B78" s="9"/>
      <c r="C78" s="9"/>
      <c r="D78" s="9"/>
      <c r="E78" s="9"/>
      <c r="F78" s="9"/>
      <c r="G78" s="9"/>
      <c r="H78" s="14"/>
      <c r="I78" s="9"/>
      <c r="J78" s="9"/>
      <c r="K78" s="9"/>
      <c r="L78" s="9"/>
      <c r="M78" s="9"/>
      <c r="N78" s="9"/>
      <c r="O78" s="9"/>
      <c r="P78" s="9"/>
      <c r="Q78" s="13"/>
      <c r="R78" s="13"/>
      <c r="S78" s="9"/>
      <c r="T78" s="9"/>
    </row>
    <row r="79" spans="1:20" ht="14.25" customHeight="1" x14ac:dyDescent="0.35">
      <c r="A79" s="9"/>
      <c r="B79" s="9"/>
      <c r="C79" s="9"/>
      <c r="D79" s="9"/>
      <c r="E79" s="9"/>
      <c r="F79" s="9"/>
      <c r="G79" s="9"/>
      <c r="H79" s="14"/>
      <c r="I79" s="9"/>
      <c r="J79" s="9"/>
      <c r="K79" s="9"/>
      <c r="L79" s="9"/>
      <c r="M79" s="9"/>
      <c r="N79" s="9"/>
      <c r="O79" s="9"/>
      <c r="P79" s="9"/>
      <c r="Q79" s="13"/>
      <c r="R79" s="13"/>
      <c r="S79" s="9"/>
      <c r="T79" s="9"/>
    </row>
    <row r="80" spans="1:20" ht="14.25" customHeight="1" x14ac:dyDescent="0.35">
      <c r="A80" s="9"/>
      <c r="B80" s="9"/>
      <c r="C80" s="9"/>
      <c r="D80" s="9"/>
      <c r="E80" s="9"/>
      <c r="F80" s="9"/>
      <c r="G80" s="9"/>
      <c r="H80" s="14"/>
      <c r="I80" s="9"/>
      <c r="J80" s="9"/>
      <c r="K80" s="9"/>
      <c r="L80" s="9"/>
      <c r="M80" s="9"/>
      <c r="N80" s="9"/>
      <c r="O80" s="9"/>
      <c r="P80" s="9"/>
      <c r="Q80" s="13"/>
      <c r="R80" s="13"/>
      <c r="S80" s="9"/>
      <c r="T80" s="9"/>
    </row>
    <row r="81" spans="1:20" ht="14.25" customHeight="1" x14ac:dyDescent="0.35">
      <c r="A81" s="9"/>
      <c r="B81" s="9"/>
      <c r="C81" s="9"/>
      <c r="D81" s="9"/>
      <c r="E81" s="9"/>
      <c r="F81" s="9"/>
      <c r="G81" s="9"/>
      <c r="H81" s="14"/>
      <c r="I81" s="9"/>
      <c r="J81" s="9"/>
      <c r="K81" s="9"/>
      <c r="L81" s="9"/>
      <c r="M81" s="9"/>
      <c r="N81" s="9"/>
      <c r="O81" s="9"/>
      <c r="P81" s="9"/>
      <c r="Q81" s="13"/>
      <c r="R81" s="13"/>
      <c r="S81" s="9"/>
      <c r="T81" s="9"/>
    </row>
    <row r="82" spans="1:20" ht="14.25" customHeight="1" x14ac:dyDescent="0.35">
      <c r="A82" s="9"/>
      <c r="B82" s="9"/>
      <c r="C82" s="9"/>
      <c r="D82" s="9"/>
      <c r="E82" s="9"/>
      <c r="F82" s="9"/>
      <c r="G82" s="9"/>
      <c r="H82" s="14"/>
      <c r="I82" s="9"/>
      <c r="J82" s="9"/>
      <c r="K82" s="9"/>
      <c r="L82" s="9"/>
      <c r="M82" s="9"/>
      <c r="N82" s="9"/>
      <c r="O82" s="9"/>
      <c r="P82" s="9"/>
      <c r="Q82" s="13"/>
      <c r="R82" s="13"/>
      <c r="S82" s="9"/>
      <c r="T82" s="9"/>
    </row>
    <row r="83" spans="1:20" ht="14.25" customHeight="1" x14ac:dyDescent="0.35">
      <c r="A83" s="9"/>
      <c r="B83" s="9"/>
      <c r="C83" s="9"/>
      <c r="D83" s="9"/>
      <c r="E83" s="9"/>
      <c r="F83" s="9"/>
      <c r="G83" s="9"/>
      <c r="H83" s="14"/>
      <c r="I83" s="9"/>
      <c r="J83" s="9"/>
      <c r="K83" s="9"/>
      <c r="L83" s="9"/>
      <c r="M83" s="9"/>
      <c r="N83" s="9"/>
      <c r="O83" s="9"/>
      <c r="P83" s="9"/>
      <c r="Q83" s="13"/>
      <c r="R83" s="13"/>
      <c r="S83" s="9"/>
      <c r="T83" s="9"/>
    </row>
    <row r="84" spans="1:20" ht="14.25" customHeight="1" x14ac:dyDescent="0.35">
      <c r="A84" s="9"/>
      <c r="B84" s="9"/>
      <c r="C84" s="9"/>
      <c r="D84" s="9"/>
      <c r="E84" s="9"/>
      <c r="F84" s="9"/>
      <c r="G84" s="9"/>
      <c r="H84" s="14"/>
      <c r="I84" s="9"/>
      <c r="J84" s="9"/>
      <c r="K84" s="9"/>
      <c r="L84" s="9"/>
      <c r="M84" s="9"/>
      <c r="N84" s="9"/>
      <c r="O84" s="9"/>
      <c r="P84" s="9"/>
      <c r="Q84" s="13"/>
      <c r="R84" s="13"/>
      <c r="S84" s="9"/>
      <c r="T84" s="9"/>
    </row>
    <row r="85" spans="1:20" ht="14.25" customHeight="1" x14ac:dyDescent="0.35">
      <c r="A85" s="9"/>
      <c r="B85" s="9"/>
      <c r="C85" s="9"/>
      <c r="D85" s="9"/>
      <c r="E85" s="9"/>
      <c r="F85" s="9"/>
      <c r="G85" s="9"/>
      <c r="H85" s="14"/>
      <c r="I85" s="9"/>
      <c r="J85" s="9"/>
      <c r="K85" s="9"/>
      <c r="L85" s="9"/>
      <c r="M85" s="9"/>
      <c r="N85" s="9"/>
      <c r="O85" s="9"/>
      <c r="P85" s="9"/>
      <c r="Q85" s="13"/>
      <c r="R85" s="13"/>
      <c r="S85" s="9"/>
      <c r="T85" s="9"/>
    </row>
    <row r="86" spans="1:20" ht="14.25" customHeight="1" x14ac:dyDescent="0.35">
      <c r="A86" s="9"/>
      <c r="B86" s="9"/>
      <c r="C86" s="9"/>
      <c r="D86" s="9"/>
      <c r="E86" s="9"/>
      <c r="F86" s="9"/>
      <c r="G86" s="9"/>
      <c r="H86" s="14"/>
      <c r="I86" s="9"/>
      <c r="J86" s="9"/>
      <c r="K86" s="9"/>
      <c r="L86" s="9"/>
      <c r="M86" s="9"/>
      <c r="N86" s="9"/>
      <c r="O86" s="9"/>
      <c r="P86" s="9"/>
      <c r="Q86" s="13"/>
      <c r="R86" s="13"/>
      <c r="S86" s="9"/>
      <c r="T86" s="9"/>
    </row>
    <row r="87" spans="1:20" ht="14.25" customHeight="1" x14ac:dyDescent="0.35">
      <c r="A87" s="9"/>
      <c r="B87" s="9"/>
      <c r="C87" s="9"/>
      <c r="D87" s="9"/>
      <c r="E87" s="9"/>
      <c r="F87" s="9"/>
      <c r="G87" s="9"/>
      <c r="H87" s="14"/>
      <c r="I87" s="9"/>
      <c r="J87" s="9"/>
      <c r="K87" s="9"/>
      <c r="L87" s="9"/>
      <c r="M87" s="9"/>
      <c r="N87" s="9"/>
      <c r="O87" s="9"/>
      <c r="P87" s="9"/>
      <c r="Q87" s="13"/>
      <c r="R87" s="13"/>
      <c r="S87" s="9"/>
      <c r="T87" s="9"/>
    </row>
    <row r="88" spans="1:20" ht="14.25" customHeight="1" x14ac:dyDescent="0.35">
      <c r="A88" s="9"/>
      <c r="B88" s="9"/>
      <c r="C88" s="9"/>
      <c r="D88" s="9"/>
      <c r="E88" s="9"/>
      <c r="F88" s="9"/>
      <c r="G88" s="9"/>
      <c r="H88" s="14"/>
      <c r="I88" s="9"/>
      <c r="J88" s="9"/>
      <c r="K88" s="9"/>
      <c r="L88" s="9"/>
      <c r="M88" s="9"/>
      <c r="N88" s="9"/>
      <c r="O88" s="9"/>
      <c r="P88" s="9"/>
      <c r="Q88" s="13"/>
      <c r="R88" s="13"/>
      <c r="S88" s="9"/>
      <c r="T88" s="9"/>
    </row>
    <row r="89" spans="1:20" ht="14.25" customHeight="1" x14ac:dyDescent="0.35">
      <c r="A89" s="9"/>
      <c r="B89" s="9"/>
      <c r="C89" s="9"/>
      <c r="D89" s="9"/>
      <c r="E89" s="9"/>
      <c r="F89" s="9"/>
      <c r="G89" s="9"/>
      <c r="H89" s="14"/>
      <c r="I89" s="9"/>
      <c r="J89" s="9"/>
      <c r="K89" s="9"/>
      <c r="L89" s="9"/>
      <c r="M89" s="9"/>
      <c r="N89" s="9"/>
      <c r="O89" s="9"/>
      <c r="P89" s="9"/>
      <c r="Q89" s="13"/>
      <c r="R89" s="13"/>
      <c r="S89" s="9"/>
      <c r="T89" s="9"/>
    </row>
    <row r="90" spans="1:20" ht="14.25" customHeight="1" x14ac:dyDescent="0.35">
      <c r="A90" s="9"/>
      <c r="B90" s="9"/>
      <c r="C90" s="9"/>
      <c r="D90" s="9"/>
      <c r="E90" s="9"/>
      <c r="F90" s="9"/>
      <c r="G90" s="9"/>
      <c r="H90" s="14"/>
      <c r="I90" s="9"/>
      <c r="J90" s="9"/>
      <c r="K90" s="9"/>
      <c r="L90" s="9"/>
      <c r="M90" s="9"/>
      <c r="N90" s="9"/>
      <c r="O90" s="9"/>
      <c r="P90" s="9"/>
      <c r="Q90" s="13"/>
      <c r="R90" s="13"/>
      <c r="S90" s="9"/>
      <c r="T90" s="9"/>
    </row>
    <row r="91" spans="1:20" ht="14.25" customHeight="1" x14ac:dyDescent="0.35">
      <c r="A91" s="9"/>
      <c r="B91" s="9"/>
      <c r="C91" s="9"/>
      <c r="D91" s="9"/>
      <c r="E91" s="9"/>
      <c r="F91" s="9"/>
      <c r="G91" s="9"/>
      <c r="H91" s="14"/>
      <c r="I91" s="9"/>
      <c r="J91" s="9"/>
      <c r="K91" s="9"/>
      <c r="L91" s="9"/>
      <c r="M91" s="9"/>
      <c r="N91" s="9"/>
      <c r="O91" s="9"/>
      <c r="P91" s="9"/>
      <c r="Q91" s="13"/>
      <c r="R91" s="13"/>
      <c r="S91" s="9"/>
      <c r="T91" s="9"/>
    </row>
  </sheetData>
  <dataValidations count="2">
    <dataValidation type="list" allowBlank="1" sqref="C5:C67" xr:uid="{00000000-0002-0000-0400-000000000000}">
      <formula1>"Payable,Receivable"</formula1>
      <formula2>0</formula2>
    </dataValidation>
    <dataValidation type="list" allowBlank="1" sqref="J5:J67" xr:uid="{00000000-0002-0000-0400-000001000000}">
      <formula1>"Monthly,Quarterly,Semi-Annual,Annual,Bi-Monthly,Ad-hoc"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45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D8" sqref="D8"/>
    </sheetView>
  </sheetViews>
  <sheetFormatPr defaultColWidth="8.6328125" defaultRowHeight="14.5" x14ac:dyDescent="0.35"/>
  <cols>
    <col min="1" max="1" width="13" customWidth="1"/>
    <col min="2" max="2" width="28" customWidth="1"/>
    <col min="3" max="4" width="18" customWidth="1"/>
    <col min="5" max="5" width="11" customWidth="1"/>
    <col min="6" max="7" width="18" customWidth="1"/>
    <col min="8" max="8" width="26" customWidth="1"/>
    <col min="9" max="9" width="16" customWidth="1"/>
    <col min="10" max="10" width="10" customWidth="1"/>
    <col min="11" max="11" width="15" customWidth="1"/>
    <col min="12" max="13" width="18" customWidth="1"/>
    <col min="14" max="14" width="14" customWidth="1"/>
    <col min="15" max="16" width="18" customWidth="1"/>
    <col min="17" max="17" width="20" customWidth="1"/>
    <col min="18" max="18" width="14" customWidth="1"/>
    <col min="19" max="19" width="10" customWidth="1"/>
    <col min="20" max="20" width="26" customWidth="1"/>
  </cols>
  <sheetData>
    <row r="1" spans="1:20" ht="18" customHeight="1" x14ac:dyDescent="0.4">
      <c r="A1" s="2" t="s">
        <v>381</v>
      </c>
    </row>
    <row r="2" spans="1:20" ht="14.25" customHeight="1" x14ac:dyDescent="0.35">
      <c r="A2" s="18" t="s">
        <v>382</v>
      </c>
    </row>
    <row r="4" spans="1:20" ht="31.5" customHeight="1" x14ac:dyDescent="0.35">
      <c r="A4" s="8" t="s">
        <v>383</v>
      </c>
      <c r="B4" s="8" t="s">
        <v>384</v>
      </c>
      <c r="C4" s="8" t="s">
        <v>217</v>
      </c>
      <c r="D4" s="8" t="s">
        <v>385</v>
      </c>
      <c r="E4" s="8" t="s">
        <v>386</v>
      </c>
      <c r="F4" s="8" t="s">
        <v>53</v>
      </c>
      <c r="G4" s="8" t="s">
        <v>387</v>
      </c>
      <c r="H4" s="8" t="s">
        <v>388</v>
      </c>
      <c r="I4" s="8" t="s">
        <v>389</v>
      </c>
      <c r="J4" s="8" t="s">
        <v>131</v>
      </c>
      <c r="K4" s="8" t="s">
        <v>390</v>
      </c>
      <c r="L4" s="8" t="s">
        <v>391</v>
      </c>
      <c r="M4" s="8" t="s">
        <v>392</v>
      </c>
      <c r="N4" s="8" t="s">
        <v>393</v>
      </c>
      <c r="O4" s="8" t="s">
        <v>394</v>
      </c>
      <c r="P4" s="8" t="s">
        <v>395</v>
      </c>
      <c r="Q4" s="8" t="s">
        <v>396</v>
      </c>
      <c r="R4" s="8" t="s">
        <v>397</v>
      </c>
      <c r="S4" s="8" t="s">
        <v>62</v>
      </c>
      <c r="T4" s="8" t="s">
        <v>63</v>
      </c>
    </row>
    <row r="5" spans="1:20" ht="25.5" customHeight="1" x14ac:dyDescent="0.35">
      <c r="A5" s="19" t="s">
        <v>688</v>
      </c>
      <c r="B5" s="19" t="s">
        <v>355</v>
      </c>
      <c r="C5" s="19" t="s">
        <v>354</v>
      </c>
      <c r="D5" s="19" t="s">
        <v>112</v>
      </c>
      <c r="E5" s="19" t="s">
        <v>90</v>
      </c>
      <c r="F5" s="19"/>
      <c r="G5" s="19"/>
      <c r="H5" s="19"/>
      <c r="I5" s="19"/>
      <c r="J5" s="19" t="s">
        <v>92</v>
      </c>
      <c r="K5" s="19"/>
      <c r="L5" s="19"/>
      <c r="M5" s="19"/>
      <c r="N5" s="19"/>
      <c r="O5" s="19"/>
      <c r="P5" s="20" t="str">
        <f t="shared" ref="P5:P21" ca="1" si="0">IFERROR(IF(M5="","",TODAY()-M5),"")</f>
        <v/>
      </c>
      <c r="Q5" s="19"/>
      <c r="R5" s="19"/>
      <c r="S5" s="19" t="s">
        <v>77</v>
      </c>
      <c r="T5" s="19" t="s">
        <v>689</v>
      </c>
    </row>
    <row r="6" spans="1:20" ht="15.75" customHeight="1" x14ac:dyDescent="0.35">
      <c r="A6" s="9" t="s">
        <v>690</v>
      </c>
      <c r="B6" s="9" t="s">
        <v>73</v>
      </c>
      <c r="C6" s="9" t="s">
        <v>263</v>
      </c>
      <c r="D6" s="9" t="s">
        <v>691</v>
      </c>
      <c r="E6" s="9" t="s">
        <v>68</v>
      </c>
      <c r="F6" s="9"/>
      <c r="G6" s="9"/>
      <c r="H6" s="9"/>
      <c r="I6" s="9"/>
      <c r="J6" s="9" t="s">
        <v>71</v>
      </c>
      <c r="K6" s="9"/>
      <c r="L6" s="9"/>
      <c r="M6" s="13"/>
      <c r="N6" s="9"/>
      <c r="O6" s="9"/>
      <c r="P6" s="15" t="str">
        <f t="shared" ca="1" si="0"/>
        <v/>
      </c>
      <c r="Q6" s="9"/>
      <c r="R6" s="13"/>
      <c r="S6" s="9" t="s">
        <v>77</v>
      </c>
      <c r="T6" s="9" t="s">
        <v>689</v>
      </c>
    </row>
    <row r="7" spans="1:20" ht="15.75" customHeight="1" x14ac:dyDescent="0.35">
      <c r="A7" s="9" t="s">
        <v>692</v>
      </c>
      <c r="B7" s="9" t="s">
        <v>363</v>
      </c>
      <c r="C7" s="9" t="s">
        <v>359</v>
      </c>
      <c r="D7" s="9" t="s">
        <v>112</v>
      </c>
      <c r="E7" s="9" t="s">
        <v>90</v>
      </c>
      <c r="F7" s="9"/>
      <c r="G7" s="9"/>
      <c r="H7" s="9"/>
      <c r="I7" s="9"/>
      <c r="J7" s="9" t="s">
        <v>92</v>
      </c>
      <c r="K7" s="9"/>
      <c r="L7" s="9"/>
      <c r="M7" s="13"/>
      <c r="N7" s="9"/>
      <c r="O7" s="9"/>
      <c r="P7" s="15" t="str">
        <f t="shared" ca="1" si="0"/>
        <v/>
      </c>
      <c r="Q7" s="9"/>
      <c r="R7" s="13"/>
      <c r="S7" s="9" t="s">
        <v>77</v>
      </c>
      <c r="T7" s="9" t="s">
        <v>689</v>
      </c>
    </row>
    <row r="8" spans="1:20" ht="15.75" customHeight="1" x14ac:dyDescent="0.35">
      <c r="A8" s="9" t="s">
        <v>693</v>
      </c>
      <c r="B8" s="9" t="s">
        <v>288</v>
      </c>
      <c r="C8" s="9" t="s">
        <v>253</v>
      </c>
      <c r="D8" s="9" t="s">
        <v>88</v>
      </c>
      <c r="E8" s="9" t="s">
        <v>68</v>
      </c>
      <c r="F8" s="9"/>
      <c r="G8" s="9"/>
      <c r="H8" s="9"/>
      <c r="I8" s="9"/>
      <c r="J8" s="9" t="s">
        <v>71</v>
      </c>
      <c r="K8" s="9"/>
      <c r="L8" s="9"/>
      <c r="M8" s="13"/>
      <c r="N8" s="9"/>
      <c r="O8" s="9"/>
      <c r="P8" s="15" t="str">
        <f t="shared" ca="1" si="0"/>
        <v/>
      </c>
      <c r="Q8" s="9"/>
      <c r="R8" s="13"/>
      <c r="S8" s="9" t="s">
        <v>77</v>
      </c>
      <c r="T8" s="9" t="s">
        <v>689</v>
      </c>
    </row>
    <row r="9" spans="1:20" ht="15.75" customHeight="1" x14ac:dyDescent="0.35">
      <c r="A9" s="9" t="s">
        <v>694</v>
      </c>
      <c r="B9" s="9" t="s">
        <v>76</v>
      </c>
      <c r="C9" s="9" t="s">
        <v>61</v>
      </c>
      <c r="D9" s="9" t="s">
        <v>691</v>
      </c>
      <c r="E9" s="9" t="s">
        <v>68</v>
      </c>
      <c r="F9" s="9"/>
      <c r="G9" s="9"/>
      <c r="H9" s="9"/>
      <c r="I9" s="9"/>
      <c r="J9" s="9" t="s">
        <v>71</v>
      </c>
      <c r="K9" s="9"/>
      <c r="L9" s="9"/>
      <c r="M9" s="13"/>
      <c r="N9" s="9"/>
      <c r="O9" s="9"/>
      <c r="P9" s="15" t="str">
        <f t="shared" ca="1" si="0"/>
        <v/>
      </c>
      <c r="Q9" s="9"/>
      <c r="R9" s="13"/>
      <c r="S9" s="9" t="s">
        <v>77</v>
      </c>
      <c r="T9" s="9" t="s">
        <v>689</v>
      </c>
    </row>
    <row r="10" spans="1:20" ht="15.75" customHeight="1" x14ac:dyDescent="0.35">
      <c r="A10" s="9" t="s">
        <v>695</v>
      </c>
      <c r="B10" s="9" t="s">
        <v>75</v>
      </c>
      <c r="C10" s="9" t="s">
        <v>260</v>
      </c>
      <c r="D10" s="9" t="s">
        <v>691</v>
      </c>
      <c r="E10" s="9" t="s">
        <v>68</v>
      </c>
      <c r="F10" s="9"/>
      <c r="G10" s="9"/>
      <c r="H10" s="9"/>
      <c r="I10" s="9"/>
      <c r="J10" s="9" t="s">
        <v>71</v>
      </c>
      <c r="K10" s="9"/>
      <c r="L10" s="9"/>
      <c r="M10" s="13"/>
      <c r="N10" s="9"/>
      <c r="O10" s="9"/>
      <c r="P10" s="15" t="str">
        <f t="shared" ca="1" si="0"/>
        <v/>
      </c>
      <c r="Q10" s="9"/>
      <c r="R10" s="13"/>
      <c r="S10" s="9" t="s">
        <v>77</v>
      </c>
      <c r="T10" s="9" t="s">
        <v>689</v>
      </c>
    </row>
    <row r="11" spans="1:20" ht="15.75" customHeight="1" x14ac:dyDescent="0.35">
      <c r="A11" s="9" t="s">
        <v>696</v>
      </c>
      <c r="B11" s="9" t="s">
        <v>254</v>
      </c>
      <c r="C11" s="9" t="s">
        <v>253</v>
      </c>
      <c r="D11" s="9" t="s">
        <v>66</v>
      </c>
      <c r="E11" s="9" t="s">
        <v>68</v>
      </c>
      <c r="F11" s="9"/>
      <c r="G11" s="9"/>
      <c r="H11" s="9"/>
      <c r="I11" s="9"/>
      <c r="J11" s="9" t="s">
        <v>71</v>
      </c>
      <c r="K11" s="9"/>
      <c r="L11" s="9"/>
      <c r="M11" s="13"/>
      <c r="N11" s="9"/>
      <c r="O11" s="9"/>
      <c r="P11" s="15" t="str">
        <f t="shared" ca="1" si="0"/>
        <v/>
      </c>
      <c r="Q11" s="9"/>
      <c r="R11" s="13"/>
      <c r="S11" s="9" t="s">
        <v>77</v>
      </c>
      <c r="T11" s="9" t="s">
        <v>689</v>
      </c>
    </row>
    <row r="12" spans="1:20" ht="15.75" customHeight="1" x14ac:dyDescent="0.35">
      <c r="A12" s="9" t="s">
        <v>415</v>
      </c>
      <c r="B12" s="9" t="s">
        <v>244</v>
      </c>
      <c r="C12" s="9" t="s">
        <v>243</v>
      </c>
      <c r="D12" s="9" t="s">
        <v>697</v>
      </c>
      <c r="E12" s="9" t="s">
        <v>68</v>
      </c>
      <c r="F12" s="9"/>
      <c r="G12" s="9"/>
      <c r="H12" s="9"/>
      <c r="I12" s="9"/>
      <c r="J12" s="9" t="s">
        <v>71</v>
      </c>
      <c r="K12" s="9"/>
      <c r="L12" s="9"/>
      <c r="M12" s="13"/>
      <c r="N12" s="9"/>
      <c r="O12" s="9"/>
      <c r="P12" s="15" t="str">
        <f t="shared" ca="1" si="0"/>
        <v/>
      </c>
      <c r="Q12" s="9"/>
      <c r="R12" s="13"/>
      <c r="S12" s="9" t="s">
        <v>77</v>
      </c>
      <c r="T12" s="9" t="s">
        <v>689</v>
      </c>
    </row>
    <row r="13" spans="1:20" ht="15.75" customHeight="1" x14ac:dyDescent="0.35">
      <c r="A13" s="9" t="s">
        <v>250</v>
      </c>
      <c r="B13" s="9" t="s">
        <v>250</v>
      </c>
      <c r="C13" s="9" t="s">
        <v>243</v>
      </c>
      <c r="D13" s="9" t="s">
        <v>697</v>
      </c>
      <c r="E13" s="9" t="s">
        <v>68</v>
      </c>
      <c r="F13" s="9"/>
      <c r="G13" s="9"/>
      <c r="H13" s="9"/>
      <c r="I13" s="9"/>
      <c r="J13" s="9" t="s">
        <v>71</v>
      </c>
      <c r="K13" s="9"/>
      <c r="L13" s="9"/>
      <c r="M13" s="13"/>
      <c r="N13" s="9"/>
      <c r="O13" s="9"/>
      <c r="P13" s="15" t="str">
        <f t="shared" ca="1" si="0"/>
        <v/>
      </c>
      <c r="Q13" s="9"/>
      <c r="R13" s="13"/>
      <c r="S13" s="9" t="s">
        <v>77</v>
      </c>
      <c r="T13" s="9" t="s">
        <v>689</v>
      </c>
    </row>
    <row r="14" spans="1:20" ht="15.75" customHeight="1" x14ac:dyDescent="0.35">
      <c r="A14" s="9" t="s">
        <v>312</v>
      </c>
      <c r="B14" s="9" t="s">
        <v>312</v>
      </c>
      <c r="C14" s="9" t="s">
        <v>698</v>
      </c>
      <c r="D14" s="9" t="s">
        <v>699</v>
      </c>
      <c r="E14" s="9" t="s">
        <v>68</v>
      </c>
      <c r="F14" s="9"/>
      <c r="G14" s="9"/>
      <c r="H14" s="9"/>
      <c r="I14" s="9"/>
      <c r="J14" s="9" t="s">
        <v>71</v>
      </c>
      <c r="K14" s="9"/>
      <c r="L14" s="9"/>
      <c r="M14" s="13"/>
      <c r="N14" s="9"/>
      <c r="O14" s="9"/>
      <c r="P14" s="15" t="str">
        <f t="shared" ca="1" si="0"/>
        <v/>
      </c>
      <c r="Q14" s="9"/>
      <c r="R14" s="13"/>
      <c r="S14" s="9" t="s">
        <v>77</v>
      </c>
      <c r="T14" s="9" t="s">
        <v>689</v>
      </c>
    </row>
    <row r="15" spans="1:20" ht="15.75" customHeight="1" x14ac:dyDescent="0.35">
      <c r="A15" s="9" t="s">
        <v>700</v>
      </c>
      <c r="B15" s="9" t="s">
        <v>360</v>
      </c>
      <c r="C15" s="9" t="s">
        <v>359</v>
      </c>
      <c r="D15" s="9" t="s">
        <v>112</v>
      </c>
      <c r="E15" s="9" t="s">
        <v>90</v>
      </c>
      <c r="F15" s="9"/>
      <c r="G15" s="9"/>
      <c r="H15" s="9"/>
      <c r="I15" s="9"/>
      <c r="J15" s="9" t="s">
        <v>92</v>
      </c>
      <c r="K15" s="9"/>
      <c r="L15" s="9"/>
      <c r="M15" s="13"/>
      <c r="N15" s="9"/>
      <c r="O15" s="9"/>
      <c r="P15" s="15" t="str">
        <f t="shared" ca="1" si="0"/>
        <v/>
      </c>
      <c r="Q15" s="9"/>
      <c r="R15" s="13"/>
      <c r="S15" s="9" t="s">
        <v>77</v>
      </c>
      <c r="T15" s="9" t="s">
        <v>689</v>
      </c>
    </row>
    <row r="16" spans="1:20" ht="15.75" customHeight="1" x14ac:dyDescent="0.35">
      <c r="A16" s="9" t="s">
        <v>419</v>
      </c>
      <c r="B16" s="9" t="s">
        <v>247</v>
      </c>
      <c r="C16" s="9" t="s">
        <v>243</v>
      </c>
      <c r="D16" s="9" t="s">
        <v>697</v>
      </c>
      <c r="E16" s="9" t="s">
        <v>68</v>
      </c>
      <c r="F16" s="9"/>
      <c r="G16" s="9"/>
      <c r="H16" s="9"/>
      <c r="I16" s="9"/>
      <c r="J16" s="9" t="s">
        <v>71</v>
      </c>
      <c r="K16" s="9"/>
      <c r="L16" s="9"/>
      <c r="M16" s="13"/>
      <c r="N16" s="9"/>
      <c r="O16" s="9"/>
      <c r="P16" s="15" t="str">
        <f t="shared" ca="1" si="0"/>
        <v/>
      </c>
      <c r="Q16" s="9"/>
      <c r="R16" s="13"/>
      <c r="S16" s="9" t="s">
        <v>77</v>
      </c>
      <c r="T16" s="9" t="s">
        <v>689</v>
      </c>
    </row>
    <row r="17" spans="1:20" ht="15.75" customHeight="1" x14ac:dyDescent="0.35">
      <c r="A17" s="9" t="s">
        <v>701</v>
      </c>
      <c r="B17" s="9" t="s">
        <v>309</v>
      </c>
      <c r="C17" s="9" t="s">
        <v>308</v>
      </c>
      <c r="D17" s="9" t="s">
        <v>88</v>
      </c>
      <c r="E17" s="9" t="s">
        <v>68</v>
      </c>
      <c r="F17" s="9"/>
      <c r="G17" s="9"/>
      <c r="H17" s="9"/>
      <c r="I17" s="9"/>
      <c r="J17" s="9" t="s">
        <v>71</v>
      </c>
      <c r="K17" s="9"/>
      <c r="L17" s="9"/>
      <c r="M17" s="13"/>
      <c r="N17" s="9"/>
      <c r="O17" s="9"/>
      <c r="P17" s="15" t="str">
        <f t="shared" ca="1" si="0"/>
        <v/>
      </c>
      <c r="Q17" s="9"/>
      <c r="R17" s="13"/>
      <c r="S17" s="9" t="s">
        <v>77</v>
      </c>
      <c r="T17" s="9" t="s">
        <v>689</v>
      </c>
    </row>
    <row r="18" spans="1:20" ht="15.75" customHeight="1" x14ac:dyDescent="0.35">
      <c r="A18" s="9" t="s">
        <v>702</v>
      </c>
      <c r="B18" s="9" t="s">
        <v>297</v>
      </c>
      <c r="C18" s="9" t="s">
        <v>296</v>
      </c>
      <c r="D18" s="9" t="s">
        <v>88</v>
      </c>
      <c r="E18" s="9" t="s">
        <v>68</v>
      </c>
      <c r="F18" s="9"/>
      <c r="G18" s="9"/>
      <c r="H18" s="9"/>
      <c r="I18" s="9"/>
      <c r="J18" s="9" t="s">
        <v>71</v>
      </c>
      <c r="K18" s="9"/>
      <c r="L18" s="9"/>
      <c r="M18" s="13"/>
      <c r="N18" s="9"/>
      <c r="O18" s="9"/>
      <c r="P18" s="15" t="str">
        <f t="shared" ca="1" si="0"/>
        <v/>
      </c>
      <c r="Q18" s="9"/>
      <c r="R18" s="13"/>
      <c r="S18" s="9" t="s">
        <v>77</v>
      </c>
      <c r="T18" s="9" t="s">
        <v>689</v>
      </c>
    </row>
    <row r="19" spans="1:20" ht="15.75" customHeight="1" x14ac:dyDescent="0.35">
      <c r="A19" s="9" t="s">
        <v>703</v>
      </c>
      <c r="B19" s="9" t="s">
        <v>367</v>
      </c>
      <c r="C19" s="9" t="s">
        <v>366</v>
      </c>
      <c r="D19" s="9" t="s">
        <v>112</v>
      </c>
      <c r="E19" s="9" t="s">
        <v>90</v>
      </c>
      <c r="F19" s="9"/>
      <c r="G19" s="9"/>
      <c r="H19" s="9"/>
      <c r="I19" s="9"/>
      <c r="J19" s="9" t="s">
        <v>92</v>
      </c>
      <c r="K19" s="9"/>
      <c r="L19" s="9"/>
      <c r="M19" s="13"/>
      <c r="N19" s="9"/>
      <c r="O19" s="9"/>
      <c r="P19" s="15" t="str">
        <f t="shared" ca="1" si="0"/>
        <v/>
      </c>
      <c r="Q19" s="9"/>
      <c r="R19" s="13"/>
      <c r="S19" s="9" t="s">
        <v>77</v>
      </c>
      <c r="T19" s="9" t="s">
        <v>689</v>
      </c>
    </row>
    <row r="20" spans="1:20" ht="15.75" customHeight="1" x14ac:dyDescent="0.35">
      <c r="A20" s="9" t="s">
        <v>704</v>
      </c>
      <c r="B20" s="9" t="s">
        <v>321</v>
      </c>
      <c r="C20" s="9" t="s">
        <v>291</v>
      </c>
      <c r="D20" s="9" t="s">
        <v>84</v>
      </c>
      <c r="E20" s="9" t="s">
        <v>68</v>
      </c>
      <c r="F20" s="9"/>
      <c r="G20" s="9"/>
      <c r="H20" s="9"/>
      <c r="I20" s="9"/>
      <c r="J20" s="9" t="s">
        <v>71</v>
      </c>
      <c r="K20" s="9"/>
      <c r="L20" s="9"/>
      <c r="M20" s="13"/>
      <c r="N20" s="9"/>
      <c r="O20" s="9"/>
      <c r="P20" s="15" t="str">
        <f t="shared" ca="1" si="0"/>
        <v/>
      </c>
      <c r="Q20" s="9"/>
      <c r="R20" s="13"/>
      <c r="S20" s="9" t="s">
        <v>77</v>
      </c>
      <c r="T20" s="9" t="s">
        <v>689</v>
      </c>
    </row>
    <row r="21" spans="1:20" ht="15.75" customHeight="1" x14ac:dyDescent="0.35">
      <c r="A21" s="9" t="s">
        <v>705</v>
      </c>
      <c r="B21" s="9" t="s">
        <v>292</v>
      </c>
      <c r="C21" s="9" t="s">
        <v>291</v>
      </c>
      <c r="D21" s="9" t="s">
        <v>88</v>
      </c>
      <c r="E21" s="9" t="s">
        <v>68</v>
      </c>
      <c r="F21" s="9"/>
      <c r="G21" s="9"/>
      <c r="H21" s="9"/>
      <c r="I21" s="9"/>
      <c r="J21" s="9" t="s">
        <v>71</v>
      </c>
      <c r="K21" s="9"/>
      <c r="L21" s="9"/>
      <c r="M21" s="13"/>
      <c r="N21" s="9"/>
      <c r="O21" s="9"/>
      <c r="P21" s="15" t="str">
        <f t="shared" ca="1" si="0"/>
        <v/>
      </c>
      <c r="Q21" s="9"/>
      <c r="R21" s="13"/>
      <c r="S21" s="9" t="s">
        <v>77</v>
      </c>
      <c r="T21" s="9" t="s">
        <v>689</v>
      </c>
    </row>
    <row r="22" spans="1:20" ht="15.75" customHeight="1" x14ac:dyDescent="0.3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13"/>
      <c r="N22" s="9"/>
      <c r="O22" s="9"/>
      <c r="P22" s="15"/>
      <c r="Q22" s="9"/>
      <c r="R22" s="13"/>
      <c r="S22" s="9"/>
      <c r="T22" s="9"/>
    </row>
    <row r="23" spans="1:20" ht="15.75" customHeight="1" x14ac:dyDescent="0.3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13"/>
      <c r="N23" s="9"/>
      <c r="O23" s="9"/>
      <c r="P23" s="15"/>
      <c r="Q23" s="9"/>
      <c r="R23" s="13"/>
      <c r="S23" s="9"/>
      <c r="T23" s="9"/>
    </row>
    <row r="24" spans="1:20" ht="15.75" customHeight="1" x14ac:dyDescent="0.3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13"/>
      <c r="N24" s="9"/>
      <c r="O24" s="9"/>
      <c r="P24" s="15"/>
      <c r="Q24" s="9"/>
      <c r="R24" s="13"/>
      <c r="S24" s="9"/>
      <c r="T24" s="9"/>
    </row>
    <row r="25" spans="1:20" ht="15.75" customHeight="1" x14ac:dyDescent="0.3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13"/>
      <c r="N25" s="9"/>
      <c r="O25" s="9"/>
      <c r="P25" s="15"/>
      <c r="Q25" s="9"/>
      <c r="R25" s="13"/>
      <c r="S25" s="9"/>
      <c r="T25" s="9"/>
    </row>
    <row r="26" spans="1:20" ht="15.75" customHeight="1" x14ac:dyDescent="0.3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13"/>
      <c r="N26" s="9"/>
      <c r="O26" s="9"/>
      <c r="P26" s="15"/>
      <c r="Q26" s="9"/>
      <c r="R26" s="13"/>
      <c r="S26" s="9"/>
      <c r="T26" s="9"/>
    </row>
    <row r="27" spans="1:20" ht="15.75" customHeight="1" x14ac:dyDescent="0.3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13"/>
      <c r="N27" s="9"/>
      <c r="O27" s="9"/>
      <c r="P27" s="15"/>
      <c r="Q27" s="9"/>
      <c r="R27" s="13"/>
      <c r="S27" s="9"/>
      <c r="T27" s="9"/>
    </row>
    <row r="28" spans="1:20" ht="15.75" customHeight="1" x14ac:dyDescent="0.3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13"/>
      <c r="N28" s="9"/>
      <c r="O28" s="9"/>
      <c r="P28" s="15"/>
      <c r="Q28" s="9"/>
      <c r="R28" s="13"/>
      <c r="S28" s="9"/>
      <c r="T28" s="9"/>
    </row>
    <row r="29" spans="1:20" ht="15.75" customHeight="1" x14ac:dyDescent="0.3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13"/>
      <c r="N29" s="9"/>
      <c r="O29" s="9"/>
      <c r="P29" s="15"/>
      <c r="Q29" s="9"/>
      <c r="R29" s="13"/>
      <c r="S29" s="9"/>
      <c r="T29" s="9"/>
    </row>
    <row r="30" spans="1:20" ht="15.75" customHeight="1" x14ac:dyDescent="0.3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13"/>
      <c r="N30" s="9"/>
      <c r="O30" s="9"/>
      <c r="P30" s="15"/>
      <c r="Q30" s="9"/>
      <c r="R30" s="13"/>
      <c r="S30" s="9"/>
      <c r="T30" s="9"/>
    </row>
    <row r="31" spans="1:20" ht="15.75" customHeight="1" x14ac:dyDescent="0.3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13"/>
      <c r="N31" s="9"/>
      <c r="O31" s="9"/>
      <c r="P31" s="15"/>
      <c r="Q31" s="9"/>
      <c r="R31" s="13"/>
      <c r="S31" s="9"/>
      <c r="T31" s="9"/>
    </row>
    <row r="32" spans="1:20" ht="15.75" customHeight="1" x14ac:dyDescent="0.3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13"/>
      <c r="N32" s="9"/>
      <c r="O32" s="9"/>
      <c r="P32" s="15"/>
      <c r="Q32" s="9"/>
      <c r="R32" s="13"/>
      <c r="S32" s="9"/>
      <c r="T32" s="9"/>
    </row>
    <row r="33" spans="1:20" ht="15.75" customHeight="1" x14ac:dyDescent="0.3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13"/>
      <c r="N33" s="9"/>
      <c r="O33" s="9"/>
      <c r="P33" s="15"/>
      <c r="Q33" s="9"/>
      <c r="R33" s="13"/>
      <c r="S33" s="9"/>
      <c r="T33" s="9"/>
    </row>
    <row r="34" spans="1:20" ht="15.75" customHeight="1" x14ac:dyDescent="0.3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13"/>
      <c r="N34" s="9"/>
      <c r="O34" s="9"/>
      <c r="P34" s="15"/>
      <c r="Q34" s="9"/>
      <c r="R34" s="13"/>
      <c r="S34" s="9"/>
      <c r="T34" s="9"/>
    </row>
    <row r="35" spans="1:20" ht="15.75" customHeight="1" x14ac:dyDescent="0.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13"/>
      <c r="N35" s="9"/>
      <c r="O35" s="9"/>
      <c r="P35" s="15"/>
      <c r="Q35" s="9"/>
      <c r="R35" s="13"/>
      <c r="S35" s="9"/>
      <c r="T35" s="9"/>
    </row>
    <row r="36" spans="1:20" ht="15.75" customHeight="1" x14ac:dyDescent="0.3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13"/>
      <c r="N36" s="9"/>
      <c r="O36" s="9"/>
      <c r="P36" s="15"/>
      <c r="Q36" s="9"/>
      <c r="R36" s="13"/>
      <c r="S36" s="9"/>
      <c r="T36" s="9"/>
    </row>
    <row r="37" spans="1:20" ht="15.75" customHeight="1" x14ac:dyDescent="0.3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13"/>
      <c r="N37" s="9"/>
      <c r="O37" s="9"/>
      <c r="P37" s="15"/>
      <c r="Q37" s="9"/>
      <c r="R37" s="13"/>
      <c r="S37" s="9"/>
      <c r="T37" s="9"/>
    </row>
    <row r="38" spans="1:20" ht="15.75" customHeight="1" x14ac:dyDescent="0.3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13"/>
      <c r="N38" s="9"/>
      <c r="O38" s="9"/>
      <c r="P38" s="15"/>
      <c r="Q38" s="9"/>
      <c r="R38" s="13"/>
      <c r="S38" s="9"/>
      <c r="T38" s="9"/>
    </row>
    <row r="39" spans="1:20" ht="15.75" customHeight="1" x14ac:dyDescent="0.3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13"/>
      <c r="N39" s="9"/>
      <c r="O39" s="9"/>
      <c r="P39" s="15"/>
      <c r="Q39" s="9"/>
      <c r="R39" s="13"/>
      <c r="S39" s="9"/>
      <c r="T39" s="9"/>
    </row>
    <row r="40" spans="1:20" ht="15.75" customHeight="1" x14ac:dyDescent="0.3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13"/>
      <c r="N40" s="9"/>
      <c r="O40" s="9"/>
      <c r="P40" s="15"/>
      <c r="Q40" s="9"/>
      <c r="R40" s="13"/>
      <c r="S40" s="9"/>
      <c r="T40" s="9"/>
    </row>
    <row r="41" spans="1:20" ht="15.75" customHeight="1" x14ac:dyDescent="0.3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13"/>
      <c r="N41" s="9"/>
      <c r="O41" s="9"/>
      <c r="P41" s="15"/>
      <c r="Q41" s="9"/>
      <c r="R41" s="13"/>
      <c r="S41" s="9"/>
      <c r="T41" s="9"/>
    </row>
    <row r="42" spans="1:20" ht="15.75" customHeight="1" x14ac:dyDescent="0.3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13"/>
      <c r="N42" s="9"/>
      <c r="O42" s="9"/>
      <c r="P42" s="15"/>
      <c r="Q42" s="9"/>
      <c r="R42" s="13"/>
      <c r="S42" s="9"/>
      <c r="T42" s="9"/>
    </row>
    <row r="43" spans="1:20" ht="15.75" customHeight="1" x14ac:dyDescent="0.3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13"/>
      <c r="N43" s="9"/>
      <c r="O43" s="9"/>
      <c r="P43" s="15"/>
      <c r="Q43" s="9"/>
      <c r="R43" s="13"/>
      <c r="S43" s="9"/>
      <c r="T43" s="9"/>
    </row>
    <row r="44" spans="1:20" ht="15.75" customHeight="1" x14ac:dyDescent="0.3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13"/>
      <c r="N44" s="9"/>
      <c r="O44" s="9"/>
      <c r="P44" s="15"/>
      <c r="Q44" s="9"/>
      <c r="R44" s="13"/>
      <c r="S44" s="9"/>
      <c r="T44" s="9"/>
    </row>
    <row r="45" spans="1:20" ht="15.75" customHeight="1" x14ac:dyDescent="0.3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13"/>
      <c r="N45" s="9"/>
      <c r="O45" s="9"/>
      <c r="P45" s="15"/>
      <c r="Q45" s="9"/>
      <c r="R45" s="13"/>
      <c r="S45" s="9"/>
      <c r="T45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65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E12" sqref="E12"/>
    </sheetView>
  </sheetViews>
  <sheetFormatPr defaultColWidth="8.6328125" defaultRowHeight="14.5" x14ac:dyDescent="0.35"/>
  <cols>
    <col min="1" max="1" width="12.6328125" customWidth="1"/>
    <col min="2" max="2" width="13" customWidth="1"/>
    <col min="3" max="3" width="12" customWidth="1"/>
    <col min="4" max="4" width="30" customWidth="1"/>
    <col min="5" max="5" width="24" customWidth="1"/>
    <col min="6" max="6" width="13" customWidth="1"/>
    <col min="7" max="7" width="16" customWidth="1"/>
    <col min="8" max="8" width="34" customWidth="1"/>
    <col min="9" max="9" width="13" customWidth="1"/>
    <col min="10" max="10" width="11" customWidth="1"/>
    <col min="11" max="11" width="13" customWidth="1"/>
    <col min="12" max="12" width="18" customWidth="1"/>
    <col min="13" max="13" width="16" customWidth="1"/>
    <col min="14" max="14" width="34" customWidth="1"/>
    <col min="15" max="15" width="18" customWidth="1"/>
    <col min="16" max="16" width="12" customWidth="1"/>
    <col min="17" max="17" width="20" customWidth="1"/>
    <col min="18" max="18" width="28" customWidth="1"/>
  </cols>
  <sheetData>
    <row r="1" spans="1:18" ht="18" customHeight="1" x14ac:dyDescent="0.4">
      <c r="A1" s="2" t="s">
        <v>398</v>
      </c>
    </row>
    <row r="2" spans="1:18" ht="14.25" customHeight="1" x14ac:dyDescent="0.35">
      <c r="A2" s="18" t="s">
        <v>399</v>
      </c>
    </row>
    <row r="4" spans="1:18" ht="31.5" customHeight="1" x14ac:dyDescent="0.35">
      <c r="A4" s="8" t="s">
        <v>214</v>
      </c>
      <c r="B4" s="8" t="s">
        <v>215</v>
      </c>
      <c r="C4" s="8" t="s">
        <v>52</v>
      </c>
      <c r="D4" s="8" t="s">
        <v>400</v>
      </c>
      <c r="E4" s="8" t="s">
        <v>401</v>
      </c>
      <c r="F4" s="8" t="s">
        <v>222</v>
      </c>
      <c r="G4" s="8" t="s">
        <v>402</v>
      </c>
      <c r="H4" s="8" t="s">
        <v>403</v>
      </c>
      <c r="I4" s="8" t="s">
        <v>404</v>
      </c>
      <c r="J4" s="8" t="s">
        <v>405</v>
      </c>
      <c r="K4" s="8" t="s">
        <v>406</v>
      </c>
      <c r="L4" s="8" t="s">
        <v>407</v>
      </c>
      <c r="M4" s="8" t="s">
        <v>408</v>
      </c>
      <c r="N4" s="8" t="s">
        <v>409</v>
      </c>
      <c r="O4" s="8" t="s">
        <v>410</v>
      </c>
      <c r="P4" s="8" t="s">
        <v>411</v>
      </c>
      <c r="Q4" s="8" t="s">
        <v>412</v>
      </c>
      <c r="R4" s="8" t="s">
        <v>63</v>
      </c>
    </row>
    <row r="5" spans="1:18" ht="15.75" customHeight="1" x14ac:dyDescent="0.35">
      <c r="A5" s="9" t="s">
        <v>413</v>
      </c>
      <c r="B5" s="9" t="s">
        <v>66</v>
      </c>
      <c r="C5" s="9" t="s">
        <v>68</v>
      </c>
      <c r="D5" s="9" t="s">
        <v>414</v>
      </c>
      <c r="E5" s="9" t="s">
        <v>415</v>
      </c>
      <c r="F5" s="9" t="s">
        <v>237</v>
      </c>
      <c r="G5" s="9" t="s">
        <v>237</v>
      </c>
      <c r="H5" s="9" t="s">
        <v>416</v>
      </c>
      <c r="I5" s="13">
        <v>46249</v>
      </c>
      <c r="J5" s="15">
        <f t="shared" ref="J5:J36" ca="1" si="0">IFERROR(IF(I5="","",I5-TODAY()),"")</f>
        <v>15</v>
      </c>
      <c r="K5" s="15" t="str">
        <f t="shared" ref="K5:K10" ca="1" si="1">IFERROR(IF(I5="","",IF(I5-TODAY()&lt;0,"OVERDUE",IF(I5-TODAY()&lt;=14,"DUE NOW",IF(I5-TODAY()&lt;=30,"Prepare","")))),"")</f>
        <v>Prepare</v>
      </c>
      <c r="L5" s="9" t="s">
        <v>206</v>
      </c>
      <c r="M5" s="13"/>
      <c r="N5" s="9"/>
      <c r="O5" s="9"/>
      <c r="P5" s="13"/>
      <c r="Q5" s="9"/>
      <c r="R5" s="9"/>
    </row>
    <row r="6" spans="1:18" ht="15.75" customHeight="1" x14ac:dyDescent="0.35">
      <c r="A6" s="9" t="s">
        <v>417</v>
      </c>
      <c r="B6" s="9" t="s">
        <v>66</v>
      </c>
      <c r="C6" s="9" t="s">
        <v>68</v>
      </c>
      <c r="D6" s="9" t="s">
        <v>418</v>
      </c>
      <c r="E6" s="9" t="s">
        <v>419</v>
      </c>
      <c r="F6" s="9" t="s">
        <v>237</v>
      </c>
      <c r="G6" s="9" t="s">
        <v>237</v>
      </c>
      <c r="H6" s="9" t="s">
        <v>416</v>
      </c>
      <c r="I6" s="13">
        <v>46249</v>
      </c>
      <c r="J6" s="15">
        <f t="shared" ca="1" si="0"/>
        <v>15</v>
      </c>
      <c r="K6" s="15" t="str">
        <f t="shared" ca="1" si="1"/>
        <v>Prepare</v>
      </c>
      <c r="L6" s="9" t="s">
        <v>206</v>
      </c>
      <c r="M6" s="13"/>
      <c r="N6" s="9"/>
      <c r="O6" s="9"/>
      <c r="P6" s="13"/>
      <c r="Q6" s="9"/>
      <c r="R6" s="9"/>
    </row>
    <row r="7" spans="1:18" ht="15.75" customHeight="1" x14ac:dyDescent="0.35">
      <c r="A7" s="9" t="s">
        <v>420</v>
      </c>
      <c r="B7" s="9" t="s">
        <v>66</v>
      </c>
      <c r="C7" s="9" t="s">
        <v>68</v>
      </c>
      <c r="D7" s="9" t="s">
        <v>251</v>
      </c>
      <c r="E7" s="9" t="s">
        <v>250</v>
      </c>
      <c r="F7" s="9" t="s">
        <v>237</v>
      </c>
      <c r="G7" s="9" t="s">
        <v>237</v>
      </c>
      <c r="H7" s="9" t="s">
        <v>416</v>
      </c>
      <c r="I7" s="13">
        <v>46249</v>
      </c>
      <c r="J7" s="15">
        <f t="shared" ca="1" si="0"/>
        <v>15</v>
      </c>
      <c r="K7" s="15" t="str">
        <f t="shared" ca="1" si="1"/>
        <v>Prepare</v>
      </c>
      <c r="L7" s="9" t="s">
        <v>206</v>
      </c>
      <c r="M7" s="13"/>
      <c r="N7" s="9"/>
      <c r="O7" s="9"/>
      <c r="P7" s="13"/>
      <c r="Q7" s="9"/>
      <c r="R7" s="9"/>
    </row>
    <row r="8" spans="1:18" ht="15.75" customHeight="1" x14ac:dyDescent="0.35">
      <c r="A8" s="9" t="s">
        <v>421</v>
      </c>
      <c r="B8" s="9" t="s">
        <v>66</v>
      </c>
      <c r="C8" s="9" t="s">
        <v>68</v>
      </c>
      <c r="D8" s="9" t="s">
        <v>422</v>
      </c>
      <c r="E8" s="9" t="s">
        <v>423</v>
      </c>
      <c r="F8" s="9" t="s">
        <v>258</v>
      </c>
      <c r="G8" s="9" t="s">
        <v>424</v>
      </c>
      <c r="H8" s="17" t="s">
        <v>106</v>
      </c>
      <c r="I8" s="13">
        <v>46234</v>
      </c>
      <c r="J8" s="15">
        <f t="shared" ca="1" si="0"/>
        <v>0</v>
      </c>
      <c r="K8" s="15" t="str">
        <f t="shared" ca="1" si="1"/>
        <v>DUE NOW</v>
      </c>
      <c r="L8" s="9" t="s">
        <v>206</v>
      </c>
      <c r="M8" s="13"/>
      <c r="N8" s="9"/>
      <c r="O8" s="9"/>
      <c r="P8" s="13"/>
      <c r="Q8" s="9"/>
      <c r="R8" s="9"/>
    </row>
    <row r="9" spans="1:18" ht="15.75" customHeight="1" x14ac:dyDescent="0.35">
      <c r="A9" s="9" t="s">
        <v>425</v>
      </c>
      <c r="B9" s="9" t="s">
        <v>66</v>
      </c>
      <c r="C9" s="9" t="s">
        <v>68</v>
      </c>
      <c r="D9" s="9" t="s">
        <v>426</v>
      </c>
      <c r="E9" s="9" t="s">
        <v>423</v>
      </c>
      <c r="F9" s="9" t="s">
        <v>258</v>
      </c>
      <c r="G9" s="9" t="s">
        <v>424</v>
      </c>
      <c r="H9" s="17" t="s">
        <v>106</v>
      </c>
      <c r="I9" s="13">
        <v>46234</v>
      </c>
      <c r="J9" s="15">
        <f t="shared" ca="1" si="0"/>
        <v>0</v>
      </c>
      <c r="K9" s="15" t="str">
        <f t="shared" ca="1" si="1"/>
        <v>DUE NOW</v>
      </c>
      <c r="L9" s="9" t="s">
        <v>61</v>
      </c>
      <c r="M9" s="13"/>
      <c r="N9" s="9"/>
      <c r="O9" s="9"/>
      <c r="P9" s="13"/>
      <c r="Q9" s="9"/>
      <c r="R9" s="9"/>
    </row>
    <row r="10" spans="1:18" ht="15.75" customHeight="1" x14ac:dyDescent="0.35">
      <c r="A10" s="9" t="s">
        <v>427</v>
      </c>
      <c r="B10" s="9" t="s">
        <v>66</v>
      </c>
      <c r="C10" s="9" t="s">
        <v>68</v>
      </c>
      <c r="D10" s="9" t="s">
        <v>428</v>
      </c>
      <c r="E10" s="9" t="s">
        <v>250</v>
      </c>
      <c r="F10" s="9" t="s">
        <v>258</v>
      </c>
      <c r="G10" s="9" t="s">
        <v>424</v>
      </c>
      <c r="H10" s="17" t="s">
        <v>429</v>
      </c>
      <c r="I10" s="13">
        <v>46366</v>
      </c>
      <c r="J10" s="15">
        <f t="shared" ca="1" si="0"/>
        <v>132</v>
      </c>
      <c r="K10" s="15" t="str">
        <f t="shared" ca="1" si="1"/>
        <v/>
      </c>
      <c r="L10" s="9" t="s">
        <v>430</v>
      </c>
      <c r="M10" s="13"/>
      <c r="N10" s="9"/>
      <c r="O10" s="9"/>
      <c r="P10" s="13"/>
      <c r="Q10" s="9"/>
      <c r="R10" s="9"/>
    </row>
    <row r="11" spans="1:18" ht="15.75" customHeight="1" x14ac:dyDescent="0.35">
      <c r="A11" s="9" t="s">
        <v>431</v>
      </c>
      <c r="B11" s="9" t="s">
        <v>66</v>
      </c>
      <c r="C11" s="9" t="s">
        <v>68</v>
      </c>
      <c r="D11" s="9" t="s">
        <v>432</v>
      </c>
      <c r="E11" s="9" t="s">
        <v>250</v>
      </c>
      <c r="F11" s="9" t="s">
        <v>258</v>
      </c>
      <c r="G11" s="9" t="s">
        <v>424</v>
      </c>
      <c r="H11" s="17" t="s">
        <v>106</v>
      </c>
      <c r="I11" s="13">
        <v>46599</v>
      </c>
      <c r="J11" s="15">
        <f t="shared" ca="1" si="0"/>
        <v>365</v>
      </c>
      <c r="K11" s="15"/>
      <c r="L11" s="9" t="s">
        <v>241</v>
      </c>
      <c r="M11" s="13"/>
      <c r="N11" s="9"/>
      <c r="O11" s="9"/>
      <c r="P11" s="13"/>
      <c r="Q11" s="9"/>
      <c r="R11" s="9"/>
    </row>
    <row r="12" spans="1:18" ht="15.75" customHeight="1" x14ac:dyDescent="0.35">
      <c r="A12" s="9" t="s">
        <v>433</v>
      </c>
      <c r="B12" s="9" t="s">
        <v>66</v>
      </c>
      <c r="C12" s="9" t="s">
        <v>68</v>
      </c>
      <c r="D12" s="9" t="s">
        <v>434</v>
      </c>
      <c r="E12" s="9" t="s">
        <v>250</v>
      </c>
      <c r="F12" s="9" t="s">
        <v>258</v>
      </c>
      <c r="G12" s="9" t="s">
        <v>424</v>
      </c>
      <c r="H12" s="17" t="s">
        <v>435</v>
      </c>
      <c r="I12" s="13">
        <v>46477</v>
      </c>
      <c r="J12" s="15">
        <f t="shared" ca="1" si="0"/>
        <v>243</v>
      </c>
      <c r="K12" s="15"/>
      <c r="L12" s="9" t="s">
        <v>241</v>
      </c>
      <c r="M12" s="13"/>
      <c r="N12" s="9"/>
      <c r="O12" s="9"/>
      <c r="P12" s="13"/>
      <c r="Q12" s="9"/>
      <c r="R12" s="9"/>
    </row>
    <row r="13" spans="1:18" ht="15.75" customHeight="1" x14ac:dyDescent="0.35">
      <c r="A13" s="9" t="s">
        <v>436</v>
      </c>
      <c r="B13" s="9" t="s">
        <v>66</v>
      </c>
      <c r="C13" s="9" t="s">
        <v>68</v>
      </c>
      <c r="D13" s="9" t="s">
        <v>437</v>
      </c>
      <c r="E13" s="9" t="s">
        <v>234</v>
      </c>
      <c r="F13" s="9" t="s">
        <v>258</v>
      </c>
      <c r="G13" s="9" t="s">
        <v>424</v>
      </c>
      <c r="H13" s="17" t="s">
        <v>438</v>
      </c>
      <c r="I13" s="13">
        <v>46477</v>
      </c>
      <c r="J13" s="15">
        <f t="shared" ca="1" si="0"/>
        <v>243</v>
      </c>
      <c r="K13" s="15"/>
      <c r="L13" s="9" t="s">
        <v>241</v>
      </c>
      <c r="M13" s="13"/>
      <c r="N13" s="9"/>
      <c r="O13" s="9"/>
      <c r="P13" s="13"/>
      <c r="Q13" s="9"/>
      <c r="R13" s="9"/>
    </row>
    <row r="14" spans="1:18" ht="15" customHeight="1" x14ac:dyDescent="0.35">
      <c r="A14" s="9" t="s">
        <v>439</v>
      </c>
      <c r="B14" s="9" t="s">
        <v>84</v>
      </c>
      <c r="C14" s="9" t="s">
        <v>68</v>
      </c>
      <c r="D14" s="9" t="s">
        <v>440</v>
      </c>
      <c r="E14" s="9" t="s">
        <v>312</v>
      </c>
      <c r="F14" s="9" t="s">
        <v>258</v>
      </c>
      <c r="G14" s="9" t="s">
        <v>424</v>
      </c>
      <c r="H14" s="17" t="s">
        <v>70</v>
      </c>
      <c r="I14" s="13">
        <v>46387</v>
      </c>
      <c r="J14" s="15">
        <f t="shared" ca="1" si="0"/>
        <v>153</v>
      </c>
      <c r="K14" s="15"/>
      <c r="L14" s="9" t="s">
        <v>206</v>
      </c>
      <c r="M14" s="13"/>
      <c r="N14" s="9"/>
      <c r="O14" s="9"/>
      <c r="P14" s="13"/>
      <c r="Q14" s="9"/>
      <c r="R14" s="9"/>
    </row>
    <row r="15" spans="1:18" ht="15" customHeight="1" x14ac:dyDescent="0.35">
      <c r="A15" s="9" t="s">
        <v>441</v>
      </c>
      <c r="B15" s="9" t="s">
        <v>84</v>
      </c>
      <c r="C15" s="9" t="s">
        <v>68</v>
      </c>
      <c r="D15" s="9" t="s">
        <v>432</v>
      </c>
      <c r="E15" s="9" t="s">
        <v>250</v>
      </c>
      <c r="F15" s="9" t="s">
        <v>258</v>
      </c>
      <c r="G15" s="9" t="s">
        <v>424</v>
      </c>
      <c r="H15" s="17" t="s">
        <v>106</v>
      </c>
      <c r="I15" s="13">
        <v>46599</v>
      </c>
      <c r="J15" s="15">
        <f t="shared" ca="1" si="0"/>
        <v>365</v>
      </c>
      <c r="K15" s="15"/>
      <c r="L15" s="9" t="s">
        <v>241</v>
      </c>
      <c r="M15" s="13"/>
      <c r="N15" s="9"/>
      <c r="O15" s="9"/>
      <c r="P15" s="13"/>
      <c r="Q15" s="9"/>
      <c r="R15" s="9"/>
    </row>
    <row r="16" spans="1:18" ht="15" customHeight="1" x14ac:dyDescent="0.35">
      <c r="A16" s="9" t="s">
        <v>442</v>
      </c>
      <c r="B16" s="9" t="s">
        <v>84</v>
      </c>
      <c r="C16" s="9" t="s">
        <v>68</v>
      </c>
      <c r="D16" s="9" t="s">
        <v>434</v>
      </c>
      <c r="E16" s="9" t="s">
        <v>250</v>
      </c>
      <c r="F16" s="9" t="s">
        <v>258</v>
      </c>
      <c r="G16" s="9" t="s">
        <v>424</v>
      </c>
      <c r="H16" s="17" t="s">
        <v>435</v>
      </c>
      <c r="I16" s="13">
        <v>46477</v>
      </c>
      <c r="J16" s="15">
        <f t="shared" ca="1" si="0"/>
        <v>243</v>
      </c>
      <c r="K16" s="15"/>
      <c r="L16" s="9" t="s">
        <v>241</v>
      </c>
      <c r="M16" s="13"/>
      <c r="N16" s="9"/>
      <c r="O16" s="9"/>
      <c r="P16" s="13"/>
      <c r="Q16" s="9"/>
      <c r="R16" s="9"/>
    </row>
    <row r="17" spans="1:18" ht="15.75" customHeight="1" x14ac:dyDescent="0.35">
      <c r="A17" s="9" t="s">
        <v>443</v>
      </c>
      <c r="B17" s="9" t="s">
        <v>84</v>
      </c>
      <c r="C17" s="9" t="s">
        <v>68</v>
      </c>
      <c r="D17" s="9" t="s">
        <v>422</v>
      </c>
      <c r="E17" s="9" t="s">
        <v>423</v>
      </c>
      <c r="F17" s="9" t="s">
        <v>258</v>
      </c>
      <c r="G17" s="9" t="s">
        <v>424</v>
      </c>
      <c r="H17" s="17" t="s">
        <v>106</v>
      </c>
      <c r="I17" s="13">
        <v>46234</v>
      </c>
      <c r="J17" s="15">
        <f t="shared" ca="1" si="0"/>
        <v>0</v>
      </c>
      <c r="K17" s="15" t="str">
        <f ca="1">IFERROR(IF(I17="","",IF(I17-TODAY()&lt;0,"OVERDUE",IF(I17-TODAY()&lt;=14,"DUE NOW",IF(I17-TODAY()&lt;=30,"Prepare","")))),"")</f>
        <v>DUE NOW</v>
      </c>
      <c r="L17" s="9" t="s">
        <v>206</v>
      </c>
      <c r="M17" s="13"/>
      <c r="N17" s="9"/>
      <c r="O17" s="9"/>
      <c r="P17" s="13"/>
      <c r="Q17" s="9"/>
      <c r="R17" s="9"/>
    </row>
    <row r="18" spans="1:18" ht="15.75" customHeight="1" x14ac:dyDescent="0.35">
      <c r="A18" s="9" t="s">
        <v>444</v>
      </c>
      <c r="B18" s="9" t="s">
        <v>84</v>
      </c>
      <c r="C18" s="9" t="s">
        <v>68</v>
      </c>
      <c r="D18" s="9" t="s">
        <v>426</v>
      </c>
      <c r="E18" s="9" t="s">
        <v>423</v>
      </c>
      <c r="F18" s="9" t="s">
        <v>258</v>
      </c>
      <c r="G18" s="9" t="s">
        <v>424</v>
      </c>
      <c r="H18" s="17" t="s">
        <v>106</v>
      </c>
      <c r="I18" s="13">
        <v>46234</v>
      </c>
      <c r="J18" s="15">
        <f t="shared" ca="1" si="0"/>
        <v>0</v>
      </c>
      <c r="K18" s="15" t="str">
        <f ca="1">IFERROR(IF(I18="","",IF(I18-TODAY()&lt;0,"OVERDUE",IF(I18-TODAY()&lt;=14,"DUE NOW",IF(I18-TODAY()&lt;=30,"Prepare","")))),"")</f>
        <v>DUE NOW</v>
      </c>
      <c r="L18" s="9" t="s">
        <v>61</v>
      </c>
      <c r="M18" s="13"/>
      <c r="N18" s="9"/>
      <c r="O18" s="9"/>
      <c r="P18" s="13"/>
      <c r="Q18" s="9"/>
      <c r="R18" s="9"/>
    </row>
    <row r="19" spans="1:18" ht="15" customHeight="1" x14ac:dyDescent="0.35">
      <c r="A19" s="9" t="s">
        <v>445</v>
      </c>
      <c r="B19" s="9" t="s">
        <v>95</v>
      </c>
      <c r="C19" s="9" t="s">
        <v>68</v>
      </c>
      <c r="D19" s="9" t="s">
        <v>432</v>
      </c>
      <c r="E19" s="9" t="s">
        <v>250</v>
      </c>
      <c r="F19" s="9" t="s">
        <v>258</v>
      </c>
      <c r="G19" s="9" t="s">
        <v>424</v>
      </c>
      <c r="H19" s="17" t="s">
        <v>106</v>
      </c>
      <c r="I19" s="13">
        <v>46599</v>
      </c>
      <c r="J19" s="15">
        <f t="shared" ca="1" si="0"/>
        <v>365</v>
      </c>
      <c r="K19" s="15"/>
      <c r="L19" s="9" t="s">
        <v>241</v>
      </c>
      <c r="M19" s="13"/>
      <c r="N19" s="9"/>
      <c r="O19" s="9"/>
      <c r="P19" s="13"/>
      <c r="Q19" s="9"/>
      <c r="R19" s="9"/>
    </row>
    <row r="20" spans="1:18" ht="15" customHeight="1" x14ac:dyDescent="0.35">
      <c r="A20" s="9" t="s">
        <v>446</v>
      </c>
      <c r="B20" s="9" t="s">
        <v>95</v>
      </c>
      <c r="C20" s="9" t="s">
        <v>68</v>
      </c>
      <c r="D20" s="9" t="s">
        <v>434</v>
      </c>
      <c r="E20" s="9" t="s">
        <v>250</v>
      </c>
      <c r="F20" s="9" t="s">
        <v>258</v>
      </c>
      <c r="G20" s="9" t="s">
        <v>424</v>
      </c>
      <c r="H20" s="17" t="s">
        <v>435</v>
      </c>
      <c r="I20" s="13">
        <v>46477</v>
      </c>
      <c r="J20" s="15">
        <f t="shared" ca="1" si="0"/>
        <v>243</v>
      </c>
      <c r="K20" s="15"/>
      <c r="L20" s="9" t="s">
        <v>241</v>
      </c>
      <c r="M20" s="13"/>
      <c r="N20" s="9"/>
      <c r="O20" s="9"/>
      <c r="P20" s="13"/>
      <c r="Q20" s="9"/>
      <c r="R20" s="9"/>
    </row>
    <row r="21" spans="1:18" ht="15.75" customHeight="1" x14ac:dyDescent="0.35">
      <c r="A21" s="9" t="s">
        <v>447</v>
      </c>
      <c r="B21" s="9" t="s">
        <v>95</v>
      </c>
      <c r="C21" s="9" t="s">
        <v>68</v>
      </c>
      <c r="D21" s="9" t="s">
        <v>422</v>
      </c>
      <c r="E21" s="9" t="s">
        <v>423</v>
      </c>
      <c r="F21" s="9" t="s">
        <v>258</v>
      </c>
      <c r="G21" s="9" t="s">
        <v>424</v>
      </c>
      <c r="H21" s="17" t="s">
        <v>106</v>
      </c>
      <c r="I21" s="13">
        <v>46234</v>
      </c>
      <c r="J21" s="15">
        <f t="shared" ca="1" si="0"/>
        <v>0</v>
      </c>
      <c r="K21" s="15" t="str">
        <f ca="1">IFERROR(IF(I21="","",IF(I21-TODAY()&lt;0,"OVERDUE",IF(I21-TODAY()&lt;=14,"DUE NOW",IF(I21-TODAY()&lt;=30,"Prepare","")))),"")</f>
        <v>DUE NOW</v>
      </c>
      <c r="L21" s="9" t="s">
        <v>206</v>
      </c>
      <c r="M21" s="13"/>
      <c r="N21" s="9"/>
      <c r="O21" s="9"/>
      <c r="P21" s="13"/>
      <c r="Q21" s="9"/>
      <c r="R21" s="9"/>
    </row>
    <row r="22" spans="1:18" ht="15.75" customHeight="1" x14ac:dyDescent="0.35">
      <c r="A22" s="9" t="s">
        <v>448</v>
      </c>
      <c r="B22" s="9" t="s">
        <v>95</v>
      </c>
      <c r="C22" s="9" t="s">
        <v>68</v>
      </c>
      <c r="D22" s="9" t="s">
        <v>426</v>
      </c>
      <c r="E22" s="9" t="s">
        <v>423</v>
      </c>
      <c r="F22" s="9" t="s">
        <v>258</v>
      </c>
      <c r="G22" s="9" t="s">
        <v>424</v>
      </c>
      <c r="H22" s="17" t="s">
        <v>106</v>
      </c>
      <c r="I22" s="13">
        <v>46234</v>
      </c>
      <c r="J22" s="15">
        <f t="shared" ca="1" si="0"/>
        <v>0</v>
      </c>
      <c r="K22" s="15" t="str">
        <f ca="1">IFERROR(IF(I22="","",IF(I22-TODAY()&lt;0,"OVERDUE",IF(I22-TODAY()&lt;=14,"DUE NOW",IF(I22-TODAY()&lt;=30,"Prepare","")))),"")</f>
        <v>DUE NOW</v>
      </c>
      <c r="L22" s="9" t="s">
        <v>61</v>
      </c>
      <c r="M22" s="13"/>
      <c r="N22" s="9"/>
      <c r="O22" s="9"/>
      <c r="P22" s="13"/>
      <c r="Q22" s="9"/>
      <c r="R22" s="9"/>
    </row>
    <row r="23" spans="1:18" ht="15" customHeight="1" x14ac:dyDescent="0.35">
      <c r="A23" s="9" t="s">
        <v>449</v>
      </c>
      <c r="B23" s="9" t="s">
        <v>99</v>
      </c>
      <c r="C23" s="9" t="s">
        <v>68</v>
      </c>
      <c r="D23" s="9" t="s">
        <v>432</v>
      </c>
      <c r="E23" s="9" t="s">
        <v>250</v>
      </c>
      <c r="F23" s="9" t="s">
        <v>258</v>
      </c>
      <c r="G23" s="9" t="s">
        <v>424</v>
      </c>
      <c r="H23" s="17" t="s">
        <v>106</v>
      </c>
      <c r="I23" s="13">
        <v>46599</v>
      </c>
      <c r="J23" s="15">
        <f t="shared" ca="1" si="0"/>
        <v>365</v>
      </c>
      <c r="K23" s="15"/>
      <c r="L23" s="9" t="s">
        <v>241</v>
      </c>
      <c r="M23" s="13"/>
      <c r="N23" s="9"/>
      <c r="O23" s="9"/>
      <c r="P23" s="13"/>
      <c r="Q23" s="9"/>
      <c r="R23" s="9"/>
    </row>
    <row r="24" spans="1:18" ht="15" customHeight="1" x14ac:dyDescent="0.35">
      <c r="A24" s="9" t="s">
        <v>450</v>
      </c>
      <c r="B24" s="9" t="s">
        <v>99</v>
      </c>
      <c r="C24" s="9" t="s">
        <v>68</v>
      </c>
      <c r="D24" s="9" t="s">
        <v>434</v>
      </c>
      <c r="E24" s="9" t="s">
        <v>250</v>
      </c>
      <c r="F24" s="9" t="s">
        <v>258</v>
      </c>
      <c r="G24" s="9" t="s">
        <v>424</v>
      </c>
      <c r="H24" s="17" t="s">
        <v>435</v>
      </c>
      <c r="I24" s="13">
        <v>46477</v>
      </c>
      <c r="J24" s="15">
        <f t="shared" ca="1" si="0"/>
        <v>243</v>
      </c>
      <c r="K24" s="15"/>
      <c r="L24" s="9" t="s">
        <v>241</v>
      </c>
      <c r="M24" s="13"/>
      <c r="N24" s="9"/>
      <c r="O24" s="9"/>
      <c r="P24" s="13"/>
      <c r="Q24" s="9"/>
      <c r="R24" s="9"/>
    </row>
    <row r="25" spans="1:18" ht="15.75" customHeight="1" x14ac:dyDescent="0.35">
      <c r="A25" s="9" t="s">
        <v>451</v>
      </c>
      <c r="B25" s="9" t="s">
        <v>99</v>
      </c>
      <c r="C25" s="9" t="s">
        <v>68</v>
      </c>
      <c r="D25" s="9" t="s">
        <v>422</v>
      </c>
      <c r="E25" s="9" t="s">
        <v>423</v>
      </c>
      <c r="F25" s="9" t="s">
        <v>258</v>
      </c>
      <c r="G25" s="9" t="s">
        <v>424</v>
      </c>
      <c r="H25" s="17" t="s">
        <v>106</v>
      </c>
      <c r="I25" s="13">
        <v>46234</v>
      </c>
      <c r="J25" s="15">
        <f t="shared" ca="1" si="0"/>
        <v>0</v>
      </c>
      <c r="K25" s="15" t="str">
        <f ca="1">IFERROR(IF(I25="","",IF(I25-TODAY()&lt;0,"OVERDUE",IF(I25-TODAY()&lt;=14,"DUE NOW",IF(I25-TODAY()&lt;=30,"Prepare","")))),"")</f>
        <v>DUE NOW</v>
      </c>
      <c r="L25" s="9" t="s">
        <v>206</v>
      </c>
      <c r="M25" s="13"/>
      <c r="N25" s="9"/>
      <c r="O25" s="9"/>
      <c r="P25" s="13"/>
      <c r="Q25" s="9"/>
      <c r="R25" s="9"/>
    </row>
    <row r="26" spans="1:18" ht="15.75" customHeight="1" x14ac:dyDescent="0.35">
      <c r="A26" s="9" t="s">
        <v>452</v>
      </c>
      <c r="B26" s="9" t="s">
        <v>99</v>
      </c>
      <c r="C26" s="9" t="s">
        <v>68</v>
      </c>
      <c r="D26" s="9" t="s">
        <v>426</v>
      </c>
      <c r="E26" s="9" t="s">
        <v>423</v>
      </c>
      <c r="F26" s="9" t="s">
        <v>258</v>
      </c>
      <c r="G26" s="9" t="s">
        <v>424</v>
      </c>
      <c r="H26" s="17" t="s">
        <v>106</v>
      </c>
      <c r="I26" s="13">
        <v>46234</v>
      </c>
      <c r="J26" s="15">
        <f t="shared" ca="1" si="0"/>
        <v>0</v>
      </c>
      <c r="K26" s="15" t="str">
        <f ca="1">IFERROR(IF(I26="","",IF(I26-TODAY()&lt;0,"OVERDUE",IF(I26-TODAY()&lt;=14,"DUE NOW",IF(I26-TODAY()&lt;=30,"Prepare","")))),"")</f>
        <v>DUE NOW</v>
      </c>
      <c r="L26" s="9" t="s">
        <v>61</v>
      </c>
      <c r="M26" s="13"/>
      <c r="N26" s="9"/>
      <c r="O26" s="9"/>
      <c r="P26" s="13"/>
      <c r="Q26" s="9"/>
      <c r="R26" s="9"/>
    </row>
    <row r="27" spans="1:18" ht="15" customHeight="1" x14ac:dyDescent="0.35">
      <c r="A27" s="9" t="s">
        <v>453</v>
      </c>
      <c r="B27" s="9" t="s">
        <v>80</v>
      </c>
      <c r="C27" s="9" t="s">
        <v>68</v>
      </c>
      <c r="D27" s="9" t="s">
        <v>432</v>
      </c>
      <c r="E27" s="9" t="s">
        <v>250</v>
      </c>
      <c r="F27" s="9" t="s">
        <v>258</v>
      </c>
      <c r="G27" s="9" t="s">
        <v>424</v>
      </c>
      <c r="H27" s="17" t="s">
        <v>106</v>
      </c>
      <c r="I27" s="13">
        <v>46599</v>
      </c>
      <c r="J27" s="15">
        <f t="shared" ca="1" si="0"/>
        <v>365</v>
      </c>
      <c r="K27" s="15"/>
      <c r="L27" s="9" t="s">
        <v>241</v>
      </c>
      <c r="M27" s="13"/>
      <c r="N27" s="9"/>
      <c r="O27" s="9"/>
      <c r="P27" s="13"/>
      <c r="Q27" s="9"/>
      <c r="R27" s="9"/>
    </row>
    <row r="28" spans="1:18" ht="15" customHeight="1" x14ac:dyDescent="0.35">
      <c r="A28" s="9" t="s">
        <v>454</v>
      </c>
      <c r="B28" s="9" t="s">
        <v>80</v>
      </c>
      <c r="C28" s="9" t="s">
        <v>68</v>
      </c>
      <c r="D28" s="9" t="s">
        <v>434</v>
      </c>
      <c r="E28" s="9" t="s">
        <v>250</v>
      </c>
      <c r="F28" s="9" t="s">
        <v>258</v>
      </c>
      <c r="G28" s="9" t="s">
        <v>424</v>
      </c>
      <c r="H28" s="17" t="s">
        <v>435</v>
      </c>
      <c r="I28" s="13">
        <v>46477</v>
      </c>
      <c r="J28" s="15">
        <f t="shared" ca="1" si="0"/>
        <v>243</v>
      </c>
      <c r="K28" s="15"/>
      <c r="L28" s="9" t="s">
        <v>241</v>
      </c>
      <c r="M28" s="13"/>
      <c r="N28" s="9"/>
      <c r="O28" s="9"/>
      <c r="P28" s="13"/>
      <c r="Q28" s="9"/>
      <c r="R28" s="9"/>
    </row>
    <row r="29" spans="1:18" ht="15.75" customHeight="1" x14ac:dyDescent="0.35">
      <c r="A29" s="9" t="s">
        <v>455</v>
      </c>
      <c r="B29" s="9" t="s">
        <v>80</v>
      </c>
      <c r="C29" s="9" t="s">
        <v>68</v>
      </c>
      <c r="D29" s="9" t="s">
        <v>422</v>
      </c>
      <c r="E29" s="9" t="s">
        <v>423</v>
      </c>
      <c r="F29" s="9" t="s">
        <v>258</v>
      </c>
      <c r="G29" s="9" t="s">
        <v>424</v>
      </c>
      <c r="H29" s="17" t="s">
        <v>106</v>
      </c>
      <c r="I29" s="13">
        <v>46234</v>
      </c>
      <c r="J29" s="15">
        <f t="shared" ca="1" si="0"/>
        <v>0</v>
      </c>
      <c r="K29" s="15" t="str">
        <f ca="1">IFERROR(IF(I29="","",IF(I29-TODAY()&lt;0,"OVERDUE",IF(I29-TODAY()&lt;=14,"DUE NOW",IF(I29-TODAY()&lt;=30,"Prepare","")))),"")</f>
        <v>DUE NOW</v>
      </c>
      <c r="L29" s="9" t="s">
        <v>206</v>
      </c>
      <c r="M29" s="13"/>
      <c r="N29" s="9"/>
      <c r="O29" s="9"/>
      <c r="P29" s="13"/>
      <c r="Q29" s="9"/>
      <c r="R29" s="9"/>
    </row>
    <row r="30" spans="1:18" ht="15.75" customHeight="1" x14ac:dyDescent="0.35">
      <c r="A30" s="9" t="s">
        <v>456</v>
      </c>
      <c r="B30" s="9" t="s">
        <v>80</v>
      </c>
      <c r="C30" s="9" t="s">
        <v>68</v>
      </c>
      <c r="D30" s="9" t="s">
        <v>426</v>
      </c>
      <c r="E30" s="9" t="s">
        <v>423</v>
      </c>
      <c r="F30" s="9" t="s">
        <v>258</v>
      </c>
      <c r="G30" s="9" t="s">
        <v>424</v>
      </c>
      <c r="H30" s="17" t="s">
        <v>106</v>
      </c>
      <c r="I30" s="13">
        <v>46234</v>
      </c>
      <c r="J30" s="15">
        <f t="shared" ca="1" si="0"/>
        <v>0</v>
      </c>
      <c r="K30" s="15" t="str">
        <f ca="1">IFERROR(IF(I30="","",IF(I30-TODAY()&lt;0,"OVERDUE",IF(I30-TODAY()&lt;=14,"DUE NOW",IF(I30-TODAY()&lt;=30,"Prepare","")))),"")</f>
        <v>DUE NOW</v>
      </c>
      <c r="L30" s="9" t="s">
        <v>61</v>
      </c>
      <c r="M30" s="13"/>
      <c r="N30" s="9"/>
      <c r="O30" s="9"/>
      <c r="P30" s="13"/>
      <c r="Q30" s="9"/>
      <c r="R30" s="9"/>
    </row>
    <row r="31" spans="1:18" ht="15" customHeight="1" x14ac:dyDescent="0.35">
      <c r="A31" s="9" t="s">
        <v>457</v>
      </c>
      <c r="B31" s="9" t="s">
        <v>103</v>
      </c>
      <c r="C31" s="9" t="s">
        <v>68</v>
      </c>
      <c r="D31" s="9" t="s">
        <v>432</v>
      </c>
      <c r="E31" s="9" t="s">
        <v>250</v>
      </c>
      <c r="F31" s="9" t="s">
        <v>258</v>
      </c>
      <c r="G31" s="9" t="s">
        <v>424</v>
      </c>
      <c r="H31" s="17" t="s">
        <v>458</v>
      </c>
      <c r="I31" s="13">
        <v>46446</v>
      </c>
      <c r="J31" s="15">
        <f t="shared" ca="1" si="0"/>
        <v>212</v>
      </c>
      <c r="K31" s="15"/>
      <c r="L31" s="9" t="s">
        <v>241</v>
      </c>
      <c r="M31" s="13"/>
      <c r="N31" s="9"/>
      <c r="O31" s="9"/>
      <c r="P31" s="13"/>
      <c r="Q31" s="9"/>
      <c r="R31" s="9" t="s">
        <v>459</v>
      </c>
    </row>
    <row r="32" spans="1:18" ht="15" customHeight="1" x14ac:dyDescent="0.35">
      <c r="A32" s="9" t="s">
        <v>460</v>
      </c>
      <c r="B32" s="9" t="s">
        <v>103</v>
      </c>
      <c r="C32" s="9" t="s">
        <v>68</v>
      </c>
      <c r="D32" s="9" t="s">
        <v>434</v>
      </c>
      <c r="E32" s="9" t="s">
        <v>250</v>
      </c>
      <c r="F32" s="9" t="s">
        <v>258</v>
      </c>
      <c r="G32" s="9" t="s">
        <v>424</v>
      </c>
      <c r="H32" s="17" t="s">
        <v>435</v>
      </c>
      <c r="I32" s="13">
        <v>46477</v>
      </c>
      <c r="J32" s="15">
        <f t="shared" ca="1" si="0"/>
        <v>243</v>
      </c>
      <c r="K32" s="15"/>
      <c r="L32" s="9" t="s">
        <v>241</v>
      </c>
      <c r="M32" s="13"/>
      <c r="N32" s="9"/>
      <c r="O32" s="9"/>
      <c r="P32" s="13"/>
      <c r="Q32" s="9"/>
      <c r="R32" s="9"/>
    </row>
    <row r="33" spans="1:18" ht="15.75" customHeight="1" x14ac:dyDescent="0.35">
      <c r="A33" s="9" t="s">
        <v>461</v>
      </c>
      <c r="B33" s="9" t="s">
        <v>103</v>
      </c>
      <c r="C33" s="9" t="s">
        <v>68</v>
      </c>
      <c r="D33" s="9" t="s">
        <v>422</v>
      </c>
      <c r="E33" s="9" t="s">
        <v>423</v>
      </c>
      <c r="F33" s="9" t="s">
        <v>258</v>
      </c>
      <c r="G33" s="9" t="s">
        <v>424</v>
      </c>
      <c r="H33" s="17" t="s">
        <v>106</v>
      </c>
      <c r="I33" s="13">
        <v>46234</v>
      </c>
      <c r="J33" s="15">
        <f t="shared" ca="1" si="0"/>
        <v>0</v>
      </c>
      <c r="K33" s="15" t="str">
        <f ca="1">IFERROR(IF(I33="","",IF(I33-TODAY()&lt;0,"OVERDUE",IF(I33-TODAY()&lt;=14,"DUE NOW",IF(I33-TODAY()&lt;=30,"Prepare","")))),"")</f>
        <v>DUE NOW</v>
      </c>
      <c r="L33" s="9" t="s">
        <v>206</v>
      </c>
      <c r="M33" s="13"/>
      <c r="N33" s="9"/>
      <c r="O33" s="9"/>
      <c r="P33" s="13"/>
      <c r="Q33" s="9"/>
      <c r="R33" s="9"/>
    </row>
    <row r="34" spans="1:18" ht="15.75" customHeight="1" x14ac:dyDescent="0.35">
      <c r="A34" s="9" t="s">
        <v>462</v>
      </c>
      <c r="B34" s="9" t="s">
        <v>103</v>
      </c>
      <c r="C34" s="9" t="s">
        <v>68</v>
      </c>
      <c r="D34" s="9" t="s">
        <v>426</v>
      </c>
      <c r="E34" s="9" t="s">
        <v>423</v>
      </c>
      <c r="F34" s="9" t="s">
        <v>258</v>
      </c>
      <c r="G34" s="9" t="s">
        <v>424</v>
      </c>
      <c r="H34" s="17" t="s">
        <v>106</v>
      </c>
      <c r="I34" s="13">
        <v>46234</v>
      </c>
      <c r="J34" s="15">
        <f t="shared" ca="1" si="0"/>
        <v>0</v>
      </c>
      <c r="K34" s="15" t="str">
        <f ca="1">IFERROR(IF(I34="","",IF(I34-TODAY()&lt;0,"OVERDUE",IF(I34-TODAY()&lt;=14,"DUE NOW",IF(I34-TODAY()&lt;=30,"Prepare","")))),"")</f>
        <v>DUE NOW</v>
      </c>
      <c r="L34" s="9" t="s">
        <v>61</v>
      </c>
      <c r="M34" s="13"/>
      <c r="N34" s="9"/>
      <c r="O34" s="9"/>
      <c r="P34" s="13"/>
      <c r="Q34" s="9"/>
      <c r="R34" s="9"/>
    </row>
    <row r="35" spans="1:18" ht="15" customHeight="1" x14ac:dyDescent="0.35">
      <c r="A35" s="9" t="s">
        <v>463</v>
      </c>
      <c r="B35" s="9" t="s">
        <v>108</v>
      </c>
      <c r="C35" s="9" t="s">
        <v>68</v>
      </c>
      <c r="D35" s="9" t="s">
        <v>432</v>
      </c>
      <c r="E35" s="9" t="s">
        <v>250</v>
      </c>
      <c r="F35" s="9" t="s">
        <v>258</v>
      </c>
      <c r="G35" s="9" t="s">
        <v>424</v>
      </c>
      <c r="H35" s="17" t="s">
        <v>458</v>
      </c>
      <c r="I35" s="13">
        <v>46446</v>
      </c>
      <c r="J35" s="15">
        <f t="shared" ca="1" si="0"/>
        <v>212</v>
      </c>
      <c r="K35" s="15"/>
      <c r="L35" s="9" t="s">
        <v>241</v>
      </c>
      <c r="M35" s="13"/>
      <c r="N35" s="9"/>
      <c r="O35" s="9"/>
      <c r="P35" s="13"/>
      <c r="Q35" s="9"/>
      <c r="R35" s="9" t="s">
        <v>459</v>
      </c>
    </row>
    <row r="36" spans="1:18" ht="15" customHeight="1" x14ac:dyDescent="0.35">
      <c r="A36" s="9" t="s">
        <v>464</v>
      </c>
      <c r="B36" s="9" t="s">
        <v>108</v>
      </c>
      <c r="C36" s="9" t="s">
        <v>68</v>
      </c>
      <c r="D36" s="9" t="s">
        <v>434</v>
      </c>
      <c r="E36" s="9" t="s">
        <v>250</v>
      </c>
      <c r="F36" s="9" t="s">
        <v>258</v>
      </c>
      <c r="G36" s="9" t="s">
        <v>424</v>
      </c>
      <c r="H36" s="17" t="s">
        <v>435</v>
      </c>
      <c r="I36" s="13">
        <v>46477</v>
      </c>
      <c r="J36" s="15">
        <f t="shared" ca="1" si="0"/>
        <v>243</v>
      </c>
      <c r="K36" s="15"/>
      <c r="L36" s="9" t="s">
        <v>241</v>
      </c>
      <c r="M36" s="13"/>
      <c r="N36" s="9"/>
      <c r="O36" s="9"/>
      <c r="P36" s="13"/>
      <c r="Q36" s="9"/>
      <c r="R36" s="9"/>
    </row>
    <row r="37" spans="1:18" ht="15.75" customHeight="1" x14ac:dyDescent="0.35">
      <c r="A37" s="9" t="s">
        <v>465</v>
      </c>
      <c r="B37" s="9" t="s">
        <v>108</v>
      </c>
      <c r="C37" s="9" t="s">
        <v>68</v>
      </c>
      <c r="D37" s="9" t="s">
        <v>422</v>
      </c>
      <c r="E37" s="9" t="s">
        <v>423</v>
      </c>
      <c r="F37" s="9" t="s">
        <v>258</v>
      </c>
      <c r="G37" s="9" t="s">
        <v>424</v>
      </c>
      <c r="H37" s="17" t="s">
        <v>106</v>
      </c>
      <c r="I37" s="13">
        <v>46234</v>
      </c>
      <c r="J37" s="15">
        <f t="shared" ref="J37:J65" ca="1" si="2">IFERROR(IF(I37="","",I37-TODAY()),"")</f>
        <v>0</v>
      </c>
      <c r="K37" s="15" t="str">
        <f t="shared" ref="K37:K43" ca="1" si="3">IFERROR(IF(I37="","",IF(I37-TODAY()&lt;0,"OVERDUE",IF(I37-TODAY()&lt;=14,"DUE NOW",IF(I37-TODAY()&lt;=30,"Prepare","")))),"")</f>
        <v>DUE NOW</v>
      </c>
      <c r="L37" s="9" t="s">
        <v>206</v>
      </c>
      <c r="M37" s="13"/>
      <c r="N37" s="9"/>
      <c r="O37" s="9"/>
      <c r="P37" s="13"/>
      <c r="Q37" s="9"/>
      <c r="R37" s="9"/>
    </row>
    <row r="38" spans="1:18" ht="15.75" customHeight="1" x14ac:dyDescent="0.35">
      <c r="A38" s="9" t="s">
        <v>466</v>
      </c>
      <c r="B38" s="9" t="s">
        <v>108</v>
      </c>
      <c r="C38" s="9" t="s">
        <v>68</v>
      </c>
      <c r="D38" s="9" t="s">
        <v>426</v>
      </c>
      <c r="E38" s="9" t="s">
        <v>423</v>
      </c>
      <c r="F38" s="9" t="s">
        <v>258</v>
      </c>
      <c r="G38" s="9" t="s">
        <v>424</v>
      </c>
      <c r="H38" s="17" t="s">
        <v>106</v>
      </c>
      <c r="I38" s="13">
        <v>46234</v>
      </c>
      <c r="J38" s="15">
        <f t="shared" ca="1" si="2"/>
        <v>0</v>
      </c>
      <c r="K38" s="15" t="str">
        <f t="shared" ca="1" si="3"/>
        <v>DUE NOW</v>
      </c>
      <c r="L38" s="9" t="s">
        <v>61</v>
      </c>
      <c r="M38" s="13"/>
      <c r="N38" s="9"/>
      <c r="O38" s="9"/>
      <c r="P38" s="13"/>
      <c r="Q38" s="9"/>
      <c r="R38" s="9"/>
    </row>
    <row r="39" spans="1:18" ht="15.75" customHeight="1" x14ac:dyDescent="0.35">
      <c r="A39" s="9" t="s">
        <v>467</v>
      </c>
      <c r="B39" s="9" t="s">
        <v>88</v>
      </c>
      <c r="C39" s="9" t="s">
        <v>90</v>
      </c>
      <c r="D39" s="9" t="s">
        <v>468</v>
      </c>
      <c r="E39" s="9" t="s">
        <v>469</v>
      </c>
      <c r="F39" s="9" t="s">
        <v>258</v>
      </c>
      <c r="G39" s="9" t="s">
        <v>424</v>
      </c>
      <c r="H39" s="17" t="s">
        <v>470</v>
      </c>
      <c r="I39" s="13">
        <v>46265</v>
      </c>
      <c r="J39" s="15">
        <f t="shared" ca="1" si="2"/>
        <v>31</v>
      </c>
      <c r="K39" s="15" t="str">
        <f t="shared" ca="1" si="3"/>
        <v/>
      </c>
      <c r="L39" s="9" t="s">
        <v>206</v>
      </c>
      <c r="M39" s="13"/>
      <c r="N39" s="9"/>
      <c r="O39" s="9"/>
      <c r="P39" s="13"/>
      <c r="Q39" s="9"/>
      <c r="R39" s="9"/>
    </row>
    <row r="40" spans="1:18" ht="15.75" customHeight="1" x14ac:dyDescent="0.35">
      <c r="A40" s="9" t="s">
        <v>471</v>
      </c>
      <c r="B40" s="9" t="s">
        <v>88</v>
      </c>
      <c r="C40" s="9" t="s">
        <v>90</v>
      </c>
      <c r="D40" s="9" t="s">
        <v>472</v>
      </c>
      <c r="E40" s="9" t="s">
        <v>473</v>
      </c>
      <c r="F40" s="9" t="s">
        <v>258</v>
      </c>
      <c r="G40" s="9" t="s">
        <v>424</v>
      </c>
      <c r="H40" s="17" t="s">
        <v>474</v>
      </c>
      <c r="I40" s="13">
        <v>46536</v>
      </c>
      <c r="J40" s="15">
        <f t="shared" ca="1" si="2"/>
        <v>302</v>
      </c>
      <c r="K40" s="15" t="str">
        <f t="shared" ca="1" si="3"/>
        <v/>
      </c>
      <c r="L40" s="9" t="s">
        <v>206</v>
      </c>
      <c r="M40" s="13"/>
      <c r="N40" s="9"/>
      <c r="O40" s="9"/>
      <c r="P40" s="13"/>
      <c r="Q40" s="9"/>
      <c r="R40" s="9"/>
    </row>
    <row r="41" spans="1:18" ht="15.75" customHeight="1" x14ac:dyDescent="0.35">
      <c r="A41" s="9" t="s">
        <v>475</v>
      </c>
      <c r="B41" s="9" t="s">
        <v>88</v>
      </c>
      <c r="C41" s="9" t="s">
        <v>90</v>
      </c>
      <c r="D41" s="9" t="s">
        <v>440</v>
      </c>
      <c r="E41" s="9" t="s">
        <v>469</v>
      </c>
      <c r="F41" s="9" t="s">
        <v>258</v>
      </c>
      <c r="G41" s="9" t="s">
        <v>424</v>
      </c>
      <c r="H41" s="17" t="s">
        <v>476</v>
      </c>
      <c r="I41" s="13">
        <v>46356</v>
      </c>
      <c r="J41" s="15">
        <f t="shared" ca="1" si="2"/>
        <v>122</v>
      </c>
      <c r="K41" s="15" t="str">
        <f t="shared" ca="1" si="3"/>
        <v/>
      </c>
      <c r="L41" s="9" t="s">
        <v>206</v>
      </c>
      <c r="M41" s="13"/>
      <c r="N41" s="9"/>
      <c r="O41" s="9"/>
      <c r="P41" s="13"/>
      <c r="Q41" s="9"/>
      <c r="R41" s="9"/>
    </row>
    <row r="42" spans="1:18" ht="15.75" customHeight="1" x14ac:dyDescent="0.35">
      <c r="A42" s="9" t="s">
        <v>477</v>
      </c>
      <c r="B42" s="9" t="s">
        <v>88</v>
      </c>
      <c r="C42" s="9" t="s">
        <v>90</v>
      </c>
      <c r="D42" s="9" t="s">
        <v>426</v>
      </c>
      <c r="E42" s="9" t="s">
        <v>469</v>
      </c>
      <c r="F42" s="9" t="s">
        <v>258</v>
      </c>
      <c r="G42" s="9" t="s">
        <v>424</v>
      </c>
      <c r="H42" s="17" t="s">
        <v>106</v>
      </c>
      <c r="I42" s="13">
        <v>46234</v>
      </c>
      <c r="J42" s="15">
        <f t="shared" ca="1" si="2"/>
        <v>0</v>
      </c>
      <c r="K42" s="15" t="str">
        <f t="shared" ca="1" si="3"/>
        <v>DUE NOW</v>
      </c>
      <c r="L42" s="9" t="s">
        <v>206</v>
      </c>
      <c r="M42" s="13"/>
      <c r="N42" s="9"/>
      <c r="O42" s="9"/>
      <c r="P42" s="13"/>
      <c r="Q42" s="9"/>
      <c r="R42" s="9"/>
    </row>
    <row r="43" spans="1:18" ht="15.75" customHeight="1" x14ac:dyDescent="0.35">
      <c r="A43" s="9" t="s">
        <v>478</v>
      </c>
      <c r="B43" s="9" t="s">
        <v>88</v>
      </c>
      <c r="C43" s="9" t="s">
        <v>68</v>
      </c>
      <c r="D43" s="9" t="s">
        <v>428</v>
      </c>
      <c r="E43" s="9" t="s">
        <v>250</v>
      </c>
      <c r="F43" s="9" t="s">
        <v>258</v>
      </c>
      <c r="G43" s="9" t="s">
        <v>424</v>
      </c>
      <c r="H43" s="17" t="s">
        <v>429</v>
      </c>
      <c r="I43" s="13">
        <v>46366</v>
      </c>
      <c r="J43" s="15">
        <f t="shared" ca="1" si="2"/>
        <v>132</v>
      </c>
      <c r="K43" s="15" t="str">
        <f t="shared" ca="1" si="3"/>
        <v/>
      </c>
      <c r="L43" s="9" t="s">
        <v>206</v>
      </c>
      <c r="M43" s="13"/>
      <c r="N43" s="9"/>
      <c r="O43" s="9"/>
      <c r="P43" s="13"/>
      <c r="Q43" s="9"/>
      <c r="R43" s="9"/>
    </row>
    <row r="44" spans="1:18" ht="15.75" customHeight="1" x14ac:dyDescent="0.35">
      <c r="A44" s="9" t="s">
        <v>479</v>
      </c>
      <c r="B44" s="9" t="s">
        <v>88</v>
      </c>
      <c r="C44" s="9" t="s">
        <v>68</v>
      </c>
      <c r="D44" s="9" t="s">
        <v>432</v>
      </c>
      <c r="E44" s="9" t="s">
        <v>250</v>
      </c>
      <c r="F44" s="9" t="s">
        <v>258</v>
      </c>
      <c r="G44" s="9" t="s">
        <v>424</v>
      </c>
      <c r="H44" s="17" t="s">
        <v>106</v>
      </c>
      <c r="I44" s="13">
        <v>46599</v>
      </c>
      <c r="J44" s="15">
        <f t="shared" ca="1" si="2"/>
        <v>365</v>
      </c>
      <c r="K44" s="15"/>
      <c r="L44" s="9" t="s">
        <v>206</v>
      </c>
      <c r="M44" s="13"/>
      <c r="N44" s="9"/>
      <c r="O44" s="9"/>
      <c r="P44" s="13"/>
      <c r="Q44" s="9"/>
      <c r="R44" s="9"/>
    </row>
    <row r="45" spans="1:18" ht="15.75" customHeight="1" x14ac:dyDescent="0.35">
      <c r="A45" s="9" t="s">
        <v>480</v>
      </c>
      <c r="B45" s="9" t="s">
        <v>88</v>
      </c>
      <c r="C45" s="9" t="s">
        <v>68</v>
      </c>
      <c r="D45" s="9" t="s">
        <v>434</v>
      </c>
      <c r="E45" s="9" t="s">
        <v>250</v>
      </c>
      <c r="F45" s="9" t="s">
        <v>258</v>
      </c>
      <c r="G45" s="9" t="s">
        <v>424</v>
      </c>
      <c r="H45" s="17" t="s">
        <v>435</v>
      </c>
      <c r="I45" s="13">
        <v>46477</v>
      </c>
      <c r="J45" s="15">
        <f t="shared" ca="1" si="2"/>
        <v>243</v>
      </c>
      <c r="K45" s="15"/>
      <c r="L45" s="9" t="s">
        <v>206</v>
      </c>
      <c r="M45" s="13"/>
      <c r="N45" s="9"/>
      <c r="O45" s="9"/>
      <c r="P45" s="13"/>
      <c r="Q45" s="9"/>
      <c r="R45" s="9"/>
    </row>
    <row r="46" spans="1:18" ht="15.75" customHeight="1" x14ac:dyDescent="0.35">
      <c r="A46" s="9" t="s">
        <v>481</v>
      </c>
      <c r="B46" s="9" t="s">
        <v>88</v>
      </c>
      <c r="C46" s="9" t="s">
        <v>68</v>
      </c>
      <c r="D46" s="9" t="s">
        <v>437</v>
      </c>
      <c r="E46" s="9" t="s">
        <v>234</v>
      </c>
      <c r="F46" s="9" t="s">
        <v>258</v>
      </c>
      <c r="G46" s="9" t="s">
        <v>424</v>
      </c>
      <c r="H46" s="17" t="s">
        <v>438</v>
      </c>
      <c r="I46" s="13">
        <v>46477</v>
      </c>
      <c r="J46" s="15">
        <f t="shared" ca="1" si="2"/>
        <v>243</v>
      </c>
      <c r="K46" s="15"/>
      <c r="L46" s="9" t="s">
        <v>241</v>
      </c>
      <c r="M46" s="13"/>
      <c r="N46" s="9"/>
      <c r="O46" s="9"/>
      <c r="P46" s="13"/>
      <c r="Q46" s="9"/>
      <c r="R46" s="9"/>
    </row>
    <row r="47" spans="1:18" ht="15.75" customHeight="1" x14ac:dyDescent="0.35">
      <c r="A47" s="9" t="s">
        <v>482</v>
      </c>
      <c r="B47" s="9" t="s">
        <v>118</v>
      </c>
      <c r="C47" s="9" t="s">
        <v>120</v>
      </c>
      <c r="D47" s="9" t="s">
        <v>483</v>
      </c>
      <c r="E47" s="9" t="s">
        <v>120</v>
      </c>
      <c r="F47" s="9" t="s">
        <v>258</v>
      </c>
      <c r="G47" s="9" t="s">
        <v>424</v>
      </c>
      <c r="H47" s="17" t="s">
        <v>484</v>
      </c>
      <c r="I47" s="13">
        <v>46295</v>
      </c>
      <c r="J47" s="15">
        <f t="shared" ca="1" si="2"/>
        <v>61</v>
      </c>
      <c r="K47" s="15" t="str">
        <f t="shared" ref="K47:K65" ca="1" si="4">IFERROR(IF(I47="","",IF(I47-TODAY()&lt;0,"OVERDUE",IF(I47-TODAY()&lt;=14,"DUE NOW",IF(I47-TODAY()&lt;=30,"Prepare","")))),"")</f>
        <v/>
      </c>
      <c r="L47" s="9" t="s">
        <v>206</v>
      </c>
      <c r="M47" s="13"/>
      <c r="N47" s="9"/>
      <c r="O47" s="9"/>
      <c r="P47" s="13"/>
      <c r="Q47" s="9"/>
      <c r="R47" s="9"/>
    </row>
    <row r="48" spans="1:18" ht="15.75" customHeight="1" x14ac:dyDescent="0.35">
      <c r="A48" s="9" t="s">
        <v>485</v>
      </c>
      <c r="B48" s="9" t="s">
        <v>118</v>
      </c>
      <c r="C48" s="9" t="s">
        <v>120</v>
      </c>
      <c r="D48" s="9" t="s">
        <v>486</v>
      </c>
      <c r="E48" s="9" t="s">
        <v>120</v>
      </c>
      <c r="F48" s="9" t="s">
        <v>258</v>
      </c>
      <c r="G48" s="9" t="s">
        <v>424</v>
      </c>
      <c r="H48" s="17" t="s">
        <v>470</v>
      </c>
      <c r="I48" s="13">
        <v>46265</v>
      </c>
      <c r="J48" s="15">
        <f t="shared" ca="1" si="2"/>
        <v>31</v>
      </c>
      <c r="K48" s="15" t="str">
        <f t="shared" ca="1" si="4"/>
        <v/>
      </c>
      <c r="L48" s="9" t="s">
        <v>206</v>
      </c>
      <c r="M48" s="13"/>
      <c r="N48" s="9"/>
      <c r="O48" s="9"/>
      <c r="P48" s="13"/>
      <c r="Q48" s="9"/>
      <c r="R48" s="9"/>
    </row>
    <row r="49" spans="1:18" ht="15.75" customHeight="1" x14ac:dyDescent="0.35">
      <c r="A49" s="9"/>
      <c r="B49" s="9"/>
      <c r="C49" s="9"/>
      <c r="D49" s="9"/>
      <c r="E49" s="9"/>
      <c r="F49" s="9"/>
      <c r="G49" s="9"/>
      <c r="H49" s="17"/>
      <c r="I49" s="13"/>
      <c r="J49" s="15" t="str">
        <f t="shared" ca="1" si="2"/>
        <v/>
      </c>
      <c r="K49" s="15" t="str">
        <f t="shared" ca="1" si="4"/>
        <v/>
      </c>
      <c r="L49" s="9"/>
      <c r="M49" s="13"/>
      <c r="N49" s="9"/>
      <c r="O49" s="9"/>
      <c r="P49" s="13"/>
      <c r="Q49" s="9"/>
      <c r="R49" s="9"/>
    </row>
    <row r="50" spans="1:18" ht="15.75" customHeight="1" x14ac:dyDescent="0.35">
      <c r="A50" s="9"/>
      <c r="B50" s="9"/>
      <c r="C50" s="9"/>
      <c r="D50" s="9"/>
      <c r="E50" s="9"/>
      <c r="F50" s="9"/>
      <c r="G50" s="9"/>
      <c r="H50" s="9"/>
      <c r="I50" s="13"/>
      <c r="J50" s="15" t="str">
        <f t="shared" ca="1" si="2"/>
        <v/>
      </c>
      <c r="K50" s="15" t="str">
        <f t="shared" ca="1" si="4"/>
        <v/>
      </c>
      <c r="L50" s="9"/>
      <c r="M50" s="13"/>
      <c r="N50" s="9"/>
      <c r="O50" s="9"/>
      <c r="P50" s="13"/>
      <c r="Q50" s="9"/>
      <c r="R50" s="9"/>
    </row>
    <row r="51" spans="1:18" ht="15.75" customHeight="1" x14ac:dyDescent="0.35">
      <c r="A51" s="9"/>
      <c r="B51" s="9"/>
      <c r="C51" s="9"/>
      <c r="D51" s="9"/>
      <c r="E51" s="9"/>
      <c r="F51" s="9"/>
      <c r="G51" s="9"/>
      <c r="H51" s="9"/>
      <c r="I51" s="13"/>
      <c r="J51" s="15" t="str">
        <f t="shared" ca="1" si="2"/>
        <v/>
      </c>
      <c r="K51" s="15" t="str">
        <f t="shared" ca="1" si="4"/>
        <v/>
      </c>
      <c r="L51" s="9"/>
      <c r="M51" s="13"/>
      <c r="N51" s="9"/>
      <c r="O51" s="9"/>
      <c r="P51" s="13"/>
      <c r="Q51" s="9"/>
      <c r="R51" s="9"/>
    </row>
    <row r="52" spans="1:18" ht="15.75" customHeight="1" x14ac:dyDescent="0.35">
      <c r="A52" s="9"/>
      <c r="B52" s="9"/>
      <c r="C52" s="9"/>
      <c r="D52" s="9"/>
      <c r="E52" s="9"/>
      <c r="F52" s="9"/>
      <c r="G52" s="9"/>
      <c r="H52" s="9"/>
      <c r="I52" s="13"/>
      <c r="J52" s="15" t="str">
        <f t="shared" ca="1" si="2"/>
        <v/>
      </c>
      <c r="K52" s="15" t="str">
        <f t="shared" ca="1" si="4"/>
        <v/>
      </c>
      <c r="L52" s="9"/>
      <c r="M52" s="13"/>
      <c r="N52" s="9"/>
      <c r="O52" s="9"/>
      <c r="P52" s="13"/>
      <c r="Q52" s="9"/>
      <c r="R52" s="9"/>
    </row>
    <row r="53" spans="1:18" ht="15.75" customHeight="1" x14ac:dyDescent="0.35">
      <c r="A53" s="9"/>
      <c r="B53" s="9"/>
      <c r="C53" s="9"/>
      <c r="D53" s="9"/>
      <c r="E53" s="9"/>
      <c r="F53" s="9"/>
      <c r="G53" s="9"/>
      <c r="H53" s="9"/>
      <c r="I53" s="13"/>
      <c r="J53" s="15" t="str">
        <f t="shared" ca="1" si="2"/>
        <v/>
      </c>
      <c r="K53" s="15" t="str">
        <f t="shared" ca="1" si="4"/>
        <v/>
      </c>
      <c r="L53" s="9"/>
      <c r="M53" s="13"/>
      <c r="N53" s="9"/>
      <c r="O53" s="9"/>
      <c r="P53" s="13"/>
      <c r="Q53" s="9"/>
      <c r="R53" s="9"/>
    </row>
    <row r="54" spans="1:18" ht="15.75" customHeight="1" x14ac:dyDescent="0.35">
      <c r="A54" s="9"/>
      <c r="B54" s="9"/>
      <c r="C54" s="9"/>
      <c r="D54" s="9"/>
      <c r="E54" s="9"/>
      <c r="F54" s="9"/>
      <c r="G54" s="9"/>
      <c r="H54" s="9"/>
      <c r="I54" s="13"/>
      <c r="J54" s="15" t="str">
        <f t="shared" ca="1" si="2"/>
        <v/>
      </c>
      <c r="K54" s="15" t="str">
        <f t="shared" ca="1" si="4"/>
        <v/>
      </c>
      <c r="L54" s="9"/>
      <c r="M54" s="13"/>
      <c r="N54" s="9"/>
      <c r="O54" s="9"/>
      <c r="P54" s="13"/>
      <c r="Q54" s="9"/>
      <c r="R54" s="9"/>
    </row>
    <row r="55" spans="1:18" ht="15.75" customHeight="1" x14ac:dyDescent="0.35">
      <c r="A55" s="9"/>
      <c r="B55" s="9"/>
      <c r="C55" s="9"/>
      <c r="D55" s="9"/>
      <c r="E55" s="9"/>
      <c r="F55" s="9"/>
      <c r="G55" s="9"/>
      <c r="H55" s="9"/>
      <c r="I55" s="13"/>
      <c r="J55" s="15" t="str">
        <f t="shared" ca="1" si="2"/>
        <v/>
      </c>
      <c r="K55" s="15" t="str">
        <f t="shared" ca="1" si="4"/>
        <v/>
      </c>
      <c r="L55" s="9"/>
      <c r="M55" s="13"/>
      <c r="N55" s="9"/>
      <c r="O55" s="9"/>
      <c r="P55" s="13"/>
      <c r="Q55" s="9"/>
      <c r="R55" s="9"/>
    </row>
    <row r="56" spans="1:18" ht="15.75" customHeight="1" x14ac:dyDescent="0.35">
      <c r="A56" s="9"/>
      <c r="B56" s="9"/>
      <c r="C56" s="9"/>
      <c r="D56" s="9"/>
      <c r="E56" s="9"/>
      <c r="F56" s="9"/>
      <c r="G56" s="9"/>
      <c r="H56" s="9"/>
      <c r="I56" s="13"/>
      <c r="J56" s="15" t="str">
        <f t="shared" ca="1" si="2"/>
        <v/>
      </c>
      <c r="K56" s="15" t="str">
        <f t="shared" ca="1" si="4"/>
        <v/>
      </c>
      <c r="L56" s="9"/>
      <c r="M56" s="13"/>
      <c r="N56" s="9"/>
      <c r="O56" s="9"/>
      <c r="P56" s="13"/>
      <c r="Q56" s="9"/>
      <c r="R56" s="9"/>
    </row>
    <row r="57" spans="1:18" ht="15.75" customHeight="1" x14ac:dyDescent="0.35">
      <c r="A57" s="9"/>
      <c r="B57" s="9"/>
      <c r="C57" s="9"/>
      <c r="D57" s="9"/>
      <c r="E57" s="9"/>
      <c r="F57" s="9"/>
      <c r="G57" s="9"/>
      <c r="H57" s="9"/>
      <c r="I57" s="13"/>
      <c r="J57" s="15" t="str">
        <f t="shared" ca="1" si="2"/>
        <v/>
      </c>
      <c r="K57" s="15" t="str">
        <f t="shared" ca="1" si="4"/>
        <v/>
      </c>
      <c r="L57" s="9"/>
      <c r="M57" s="13"/>
      <c r="N57" s="9"/>
      <c r="O57" s="9"/>
      <c r="P57" s="13"/>
      <c r="Q57" s="9"/>
      <c r="R57" s="9"/>
    </row>
    <row r="58" spans="1:18" ht="15.75" customHeight="1" x14ac:dyDescent="0.35">
      <c r="A58" s="9"/>
      <c r="B58" s="9"/>
      <c r="C58" s="9"/>
      <c r="D58" s="9"/>
      <c r="E58" s="9"/>
      <c r="F58" s="9"/>
      <c r="G58" s="9"/>
      <c r="H58" s="9"/>
      <c r="I58" s="13"/>
      <c r="J58" s="15" t="str">
        <f t="shared" ca="1" si="2"/>
        <v/>
      </c>
      <c r="K58" s="15" t="str">
        <f t="shared" ca="1" si="4"/>
        <v/>
      </c>
      <c r="L58" s="9"/>
      <c r="M58" s="13"/>
      <c r="N58" s="9"/>
      <c r="O58" s="9"/>
      <c r="P58" s="13"/>
      <c r="Q58" s="9"/>
      <c r="R58" s="9"/>
    </row>
    <row r="59" spans="1:18" ht="15.75" customHeight="1" x14ac:dyDescent="0.35">
      <c r="A59" s="9"/>
      <c r="B59" s="9"/>
      <c r="C59" s="9"/>
      <c r="D59" s="9"/>
      <c r="E59" s="9"/>
      <c r="F59" s="9"/>
      <c r="G59" s="9"/>
      <c r="H59" s="9"/>
      <c r="I59" s="13"/>
      <c r="J59" s="15" t="str">
        <f t="shared" ca="1" si="2"/>
        <v/>
      </c>
      <c r="K59" s="15" t="str">
        <f t="shared" ca="1" si="4"/>
        <v/>
      </c>
      <c r="L59" s="9"/>
      <c r="M59" s="13"/>
      <c r="N59" s="9"/>
      <c r="O59" s="9"/>
      <c r="P59" s="13"/>
      <c r="Q59" s="9"/>
      <c r="R59" s="9"/>
    </row>
    <row r="60" spans="1:18" ht="15.75" customHeight="1" x14ac:dyDescent="0.35">
      <c r="A60" s="9"/>
      <c r="B60" s="9"/>
      <c r="C60" s="9"/>
      <c r="D60" s="9"/>
      <c r="E60" s="9"/>
      <c r="F60" s="9"/>
      <c r="G60" s="9"/>
      <c r="H60" s="9"/>
      <c r="I60" s="13"/>
      <c r="J60" s="15" t="str">
        <f t="shared" ca="1" si="2"/>
        <v/>
      </c>
      <c r="K60" s="15" t="str">
        <f t="shared" ca="1" si="4"/>
        <v/>
      </c>
      <c r="L60" s="9"/>
      <c r="M60" s="13"/>
      <c r="N60" s="9"/>
      <c r="O60" s="9"/>
      <c r="P60" s="13"/>
      <c r="Q60" s="9"/>
      <c r="R60" s="9"/>
    </row>
    <row r="61" spans="1:18" ht="15.75" customHeight="1" x14ac:dyDescent="0.35">
      <c r="A61" s="9"/>
      <c r="B61" s="9"/>
      <c r="C61" s="9"/>
      <c r="D61" s="9"/>
      <c r="E61" s="9"/>
      <c r="F61" s="9"/>
      <c r="G61" s="9"/>
      <c r="H61" s="9"/>
      <c r="I61" s="13"/>
      <c r="J61" s="15" t="str">
        <f t="shared" ca="1" si="2"/>
        <v/>
      </c>
      <c r="K61" s="15" t="str">
        <f t="shared" ca="1" si="4"/>
        <v/>
      </c>
      <c r="L61" s="9"/>
      <c r="M61" s="13"/>
      <c r="N61" s="9"/>
      <c r="O61" s="9"/>
      <c r="P61" s="13"/>
      <c r="Q61" s="9"/>
      <c r="R61" s="9"/>
    </row>
    <row r="62" spans="1:18" ht="15.75" customHeight="1" x14ac:dyDescent="0.35">
      <c r="A62" s="9"/>
      <c r="B62" s="9"/>
      <c r="C62" s="9"/>
      <c r="D62" s="9"/>
      <c r="E62" s="9"/>
      <c r="F62" s="9"/>
      <c r="G62" s="9"/>
      <c r="H62" s="9"/>
      <c r="I62" s="13"/>
      <c r="J62" s="15" t="str">
        <f t="shared" ca="1" si="2"/>
        <v/>
      </c>
      <c r="K62" s="15" t="str">
        <f t="shared" ca="1" si="4"/>
        <v/>
      </c>
      <c r="L62" s="9"/>
      <c r="M62" s="13"/>
      <c r="N62" s="9"/>
      <c r="O62" s="9"/>
      <c r="P62" s="13"/>
      <c r="Q62" s="9"/>
      <c r="R62" s="9"/>
    </row>
    <row r="63" spans="1:18" ht="15.75" customHeight="1" x14ac:dyDescent="0.35">
      <c r="A63" s="9"/>
      <c r="B63" s="9"/>
      <c r="C63" s="9"/>
      <c r="D63" s="9"/>
      <c r="E63" s="9"/>
      <c r="F63" s="9"/>
      <c r="G63" s="9"/>
      <c r="H63" s="9"/>
      <c r="I63" s="13"/>
      <c r="J63" s="15" t="str">
        <f t="shared" ca="1" si="2"/>
        <v/>
      </c>
      <c r="K63" s="15" t="str">
        <f t="shared" ca="1" si="4"/>
        <v/>
      </c>
      <c r="L63" s="9"/>
      <c r="M63" s="13"/>
      <c r="N63" s="9"/>
      <c r="O63" s="9"/>
      <c r="P63" s="13"/>
      <c r="Q63" s="9"/>
      <c r="R63" s="9"/>
    </row>
    <row r="64" spans="1:18" ht="15.75" customHeight="1" x14ac:dyDescent="0.35">
      <c r="A64" s="9"/>
      <c r="B64" s="9"/>
      <c r="C64" s="9"/>
      <c r="D64" s="9"/>
      <c r="E64" s="9"/>
      <c r="F64" s="9"/>
      <c r="G64" s="9"/>
      <c r="H64" s="9"/>
      <c r="I64" s="13"/>
      <c r="J64" s="15" t="str">
        <f t="shared" ca="1" si="2"/>
        <v/>
      </c>
      <c r="K64" s="15" t="str">
        <f t="shared" ca="1" si="4"/>
        <v/>
      </c>
      <c r="L64" s="9"/>
      <c r="M64" s="13"/>
      <c r="N64" s="9"/>
      <c r="O64" s="9"/>
      <c r="P64" s="13"/>
      <c r="Q64" s="9"/>
      <c r="R64" s="9"/>
    </row>
    <row r="65" spans="1:18" ht="15.75" customHeight="1" x14ac:dyDescent="0.35">
      <c r="A65" s="9"/>
      <c r="B65" s="9"/>
      <c r="C65" s="9"/>
      <c r="D65" s="9"/>
      <c r="E65" s="9"/>
      <c r="F65" s="9"/>
      <c r="G65" s="9"/>
      <c r="H65" s="9"/>
      <c r="I65" s="13"/>
      <c r="J65" s="15" t="str">
        <f t="shared" ca="1" si="2"/>
        <v/>
      </c>
      <c r="K65" s="15" t="str">
        <f t="shared" ca="1" si="4"/>
        <v/>
      </c>
      <c r="L65" s="9"/>
      <c r="M65" s="13"/>
      <c r="N65" s="9"/>
      <c r="O65" s="9"/>
      <c r="P65" s="13"/>
      <c r="Q65" s="9"/>
      <c r="R65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C64"/>
  <sheetViews>
    <sheetView showGridLines="0" zoomScaleNormal="100" workbookViewId="0">
      <selection activeCell="C9" sqref="C9"/>
    </sheetView>
  </sheetViews>
  <sheetFormatPr defaultColWidth="8.6328125" defaultRowHeight="14.5" x14ac:dyDescent="0.35"/>
  <cols>
    <col min="1" max="1" width="3" customWidth="1"/>
    <col min="2" max="2" width="26" customWidth="1"/>
    <col min="3" max="3" width="95" customWidth="1"/>
  </cols>
  <sheetData>
    <row r="2" spans="1:3" ht="18" customHeight="1" x14ac:dyDescent="0.4">
      <c r="B2" s="2" t="s">
        <v>487</v>
      </c>
    </row>
    <row r="4" spans="1:3" ht="14.25" customHeight="1" x14ac:dyDescent="0.35">
      <c r="B4" s="4" t="s">
        <v>488</v>
      </c>
    </row>
    <row r="5" spans="1:3" ht="15.75" customHeight="1" x14ac:dyDescent="0.4">
      <c r="B5" s="34" t="s">
        <v>489</v>
      </c>
      <c r="C5" s="34"/>
    </row>
    <row r="7" spans="1:3" ht="14.25" customHeight="1" x14ac:dyDescent="0.35">
      <c r="B7" s="4" t="s">
        <v>490</v>
      </c>
    </row>
    <row r="8" spans="1:3" ht="31.5" customHeight="1" x14ac:dyDescent="0.35">
      <c r="A8" s="21" t="s">
        <v>491</v>
      </c>
      <c r="B8" s="8" t="s">
        <v>492</v>
      </c>
      <c r="C8" s="8"/>
    </row>
    <row r="9" spans="1:3" ht="42" customHeight="1" x14ac:dyDescent="0.35">
      <c r="B9" s="22" t="s">
        <v>493</v>
      </c>
      <c r="C9" s="21" t="s">
        <v>494</v>
      </c>
    </row>
    <row r="10" spans="1:3" ht="42" customHeight="1" x14ac:dyDescent="0.35">
      <c r="B10" s="22" t="s">
        <v>495</v>
      </c>
      <c r="C10" s="21" t="s">
        <v>496</v>
      </c>
    </row>
    <row r="11" spans="1:3" ht="42" customHeight="1" x14ac:dyDescent="0.35">
      <c r="B11" s="22" t="s">
        <v>497</v>
      </c>
      <c r="C11" s="21" t="s">
        <v>498</v>
      </c>
    </row>
    <row r="12" spans="1:3" ht="42" customHeight="1" x14ac:dyDescent="0.35">
      <c r="B12" s="22" t="s">
        <v>499</v>
      </c>
      <c r="C12" s="21" t="s">
        <v>500</v>
      </c>
    </row>
    <row r="13" spans="1:3" ht="42" customHeight="1" x14ac:dyDescent="0.35">
      <c r="B13" s="22" t="s">
        <v>501</v>
      </c>
      <c r="C13" s="21" t="s">
        <v>502</v>
      </c>
    </row>
    <row r="14" spans="1:3" ht="42" customHeight="1" x14ac:dyDescent="0.35">
      <c r="B14" s="22" t="s">
        <v>503</v>
      </c>
      <c r="C14" s="21" t="s">
        <v>504</v>
      </c>
    </row>
    <row r="16" spans="1:3" ht="14.25" customHeight="1" x14ac:dyDescent="0.35">
      <c r="B16" s="4" t="s">
        <v>505</v>
      </c>
    </row>
    <row r="17" spans="2:3" ht="31.5" customHeight="1" x14ac:dyDescent="0.35">
      <c r="B17" s="8" t="s">
        <v>506</v>
      </c>
      <c r="C17" s="8" t="s">
        <v>507</v>
      </c>
    </row>
    <row r="18" spans="2:3" ht="36" customHeight="1" x14ac:dyDescent="0.35">
      <c r="B18" s="23" t="s">
        <v>508</v>
      </c>
      <c r="C18" s="21" t="s">
        <v>509</v>
      </c>
    </row>
    <row r="19" spans="2:3" ht="36" customHeight="1" x14ac:dyDescent="0.35">
      <c r="B19" s="23" t="s">
        <v>510</v>
      </c>
      <c r="C19" s="21" t="s">
        <v>511</v>
      </c>
    </row>
    <row r="20" spans="2:3" ht="36" customHeight="1" x14ac:dyDescent="0.35">
      <c r="B20" s="23" t="s">
        <v>512</v>
      </c>
      <c r="C20" s="21" t="s">
        <v>513</v>
      </c>
    </row>
    <row r="21" spans="2:3" ht="36" customHeight="1" x14ac:dyDescent="0.35">
      <c r="B21" s="23" t="s">
        <v>514</v>
      </c>
      <c r="C21" s="21" t="s">
        <v>515</v>
      </c>
    </row>
    <row r="22" spans="2:3" ht="36" customHeight="1" x14ac:dyDescent="0.35">
      <c r="B22" s="23" t="s">
        <v>516</v>
      </c>
      <c r="C22" s="21" t="s">
        <v>517</v>
      </c>
    </row>
    <row r="23" spans="2:3" ht="36" customHeight="1" x14ac:dyDescent="0.35">
      <c r="B23" s="23" t="s">
        <v>518</v>
      </c>
      <c r="C23" s="21" t="s">
        <v>519</v>
      </c>
    </row>
    <row r="24" spans="2:3" ht="36" customHeight="1" x14ac:dyDescent="0.35">
      <c r="B24" s="23" t="s">
        <v>520</v>
      </c>
      <c r="C24" s="21" t="s">
        <v>521</v>
      </c>
    </row>
    <row r="25" spans="2:3" ht="36" customHeight="1" x14ac:dyDescent="0.35">
      <c r="B25" s="23" t="s">
        <v>522</v>
      </c>
      <c r="C25" s="21" t="s">
        <v>523</v>
      </c>
    </row>
    <row r="27" spans="2:3" ht="14.25" customHeight="1" x14ac:dyDescent="0.35">
      <c r="B27" s="4" t="s">
        <v>524</v>
      </c>
    </row>
    <row r="28" spans="2:3" ht="14.25" customHeight="1" x14ac:dyDescent="0.35">
      <c r="B28" s="32" t="s">
        <v>525</v>
      </c>
      <c r="C28" s="32"/>
    </row>
    <row r="29" spans="2:3" ht="14.25" customHeight="1" x14ac:dyDescent="0.35">
      <c r="B29" s="32" t="s">
        <v>526</v>
      </c>
      <c r="C29" s="32"/>
    </row>
    <row r="30" spans="2:3" ht="14.25" customHeight="1" x14ac:dyDescent="0.35">
      <c r="B30" s="32" t="s">
        <v>527</v>
      </c>
      <c r="C30" s="32"/>
    </row>
    <row r="31" spans="2:3" ht="14.25" customHeight="1" x14ac:dyDescent="0.35">
      <c r="B31" s="32" t="s">
        <v>528</v>
      </c>
      <c r="C31" s="32"/>
    </row>
    <row r="32" spans="2:3" ht="14.25" customHeight="1" x14ac:dyDescent="0.35">
      <c r="B32" s="32" t="s">
        <v>529</v>
      </c>
      <c r="C32" s="32"/>
    </row>
    <row r="33" spans="2:3" ht="14.25" customHeight="1" x14ac:dyDescent="0.35">
      <c r="B33" s="32" t="s">
        <v>530</v>
      </c>
      <c r="C33" s="32"/>
    </row>
    <row r="34" spans="2:3" ht="14.25" customHeight="1" x14ac:dyDescent="0.35">
      <c r="B34" s="32" t="s">
        <v>531</v>
      </c>
      <c r="C34" s="32"/>
    </row>
    <row r="36" spans="2:3" ht="14.25" customHeight="1" x14ac:dyDescent="0.35">
      <c r="B36" s="4" t="s">
        <v>532</v>
      </c>
    </row>
    <row r="37" spans="2:3" ht="14.25" customHeight="1" x14ac:dyDescent="0.35">
      <c r="B37" s="33" t="s">
        <v>533</v>
      </c>
      <c r="C37" s="33"/>
    </row>
    <row r="38" spans="2:3" ht="14.25" customHeight="1" x14ac:dyDescent="0.35">
      <c r="B38" s="33" t="s">
        <v>534</v>
      </c>
      <c r="C38" s="33"/>
    </row>
    <row r="39" spans="2:3" ht="14.25" customHeight="1" x14ac:dyDescent="0.35">
      <c r="B39" s="33" t="s">
        <v>535</v>
      </c>
      <c r="C39" s="33"/>
    </row>
    <row r="40" spans="2:3" ht="14.25" customHeight="1" x14ac:dyDescent="0.35">
      <c r="B40" s="33" t="s">
        <v>536</v>
      </c>
      <c r="C40" s="33"/>
    </row>
    <row r="41" spans="2:3" ht="14.25" customHeight="1" x14ac:dyDescent="0.35">
      <c r="B41" s="33" t="s">
        <v>537</v>
      </c>
      <c r="C41" s="33"/>
    </row>
    <row r="42" spans="2:3" ht="14.25" customHeight="1" x14ac:dyDescent="0.35">
      <c r="B42" s="33" t="s">
        <v>538</v>
      </c>
      <c r="C42" s="33"/>
    </row>
    <row r="43" spans="2:3" ht="14.25" customHeight="1" x14ac:dyDescent="0.35">
      <c r="B43" s="33" t="s">
        <v>539</v>
      </c>
      <c r="C43" s="33"/>
    </row>
    <row r="44" spans="2:3" ht="14.25" customHeight="1" x14ac:dyDescent="0.35">
      <c r="B44" s="33" t="s">
        <v>540</v>
      </c>
      <c r="C44" s="33"/>
    </row>
    <row r="45" spans="2:3" ht="14.25" customHeight="1" x14ac:dyDescent="0.35">
      <c r="B45" s="33" t="s">
        <v>541</v>
      </c>
      <c r="C45" s="33"/>
    </row>
    <row r="46" spans="2:3" ht="14.25" customHeight="1" x14ac:dyDescent="0.35">
      <c r="B46" s="33" t="s">
        <v>542</v>
      </c>
      <c r="C46" s="33"/>
    </row>
    <row r="47" spans="2:3" ht="14.25" customHeight="1" x14ac:dyDescent="0.35">
      <c r="B47" s="33" t="s">
        <v>543</v>
      </c>
      <c r="C47" s="33"/>
    </row>
    <row r="48" spans="2:3" ht="14.25" customHeight="1" x14ac:dyDescent="0.35">
      <c r="B48" s="33" t="s">
        <v>544</v>
      </c>
      <c r="C48" s="33"/>
    </row>
    <row r="49" spans="2:3" ht="14.25" customHeight="1" x14ac:dyDescent="0.35">
      <c r="B49" s="33" t="s">
        <v>545</v>
      </c>
      <c r="C49" s="33"/>
    </row>
    <row r="50" spans="2:3" ht="14.25" customHeight="1" x14ac:dyDescent="0.35">
      <c r="B50" s="33" t="s">
        <v>546</v>
      </c>
      <c r="C50" s="33"/>
    </row>
    <row r="51" spans="2:3" ht="14.25" customHeight="1" x14ac:dyDescent="0.35">
      <c r="B51" s="33" t="s">
        <v>547</v>
      </c>
      <c r="C51" s="33"/>
    </row>
    <row r="52" spans="2:3" ht="14.25" customHeight="1" x14ac:dyDescent="0.35">
      <c r="B52" s="33" t="s">
        <v>548</v>
      </c>
      <c r="C52" s="33"/>
    </row>
    <row r="53" spans="2:3" ht="14.25" customHeight="1" x14ac:dyDescent="0.35">
      <c r="B53" s="33" t="s">
        <v>549</v>
      </c>
      <c r="C53" s="33"/>
    </row>
    <row r="54" spans="2:3" ht="14.25" customHeight="1" x14ac:dyDescent="0.35">
      <c r="B54" s="33" t="s">
        <v>550</v>
      </c>
      <c r="C54" s="33"/>
    </row>
    <row r="55" spans="2:3" ht="14.25" customHeight="1" x14ac:dyDescent="0.35">
      <c r="B55" s="33" t="s">
        <v>551</v>
      </c>
      <c r="C55" s="33"/>
    </row>
    <row r="56" spans="2:3" ht="14.25" customHeight="1" x14ac:dyDescent="0.35">
      <c r="B56" s="33" t="s">
        <v>552</v>
      </c>
      <c r="C56" s="33"/>
    </row>
    <row r="58" spans="2:3" ht="14.25" customHeight="1" x14ac:dyDescent="0.35">
      <c r="B58" s="4" t="s">
        <v>553</v>
      </c>
    </row>
    <row r="59" spans="2:3" ht="14.25" customHeight="1" x14ac:dyDescent="0.35">
      <c r="B59" s="32" t="s">
        <v>554</v>
      </c>
      <c r="C59" s="32"/>
    </row>
    <row r="60" spans="2:3" ht="14.25" customHeight="1" x14ac:dyDescent="0.35">
      <c r="B60" s="32" t="s">
        <v>555</v>
      </c>
      <c r="C60" s="32"/>
    </row>
    <row r="61" spans="2:3" ht="14.25" customHeight="1" x14ac:dyDescent="0.35">
      <c r="B61" s="32" t="s">
        <v>556</v>
      </c>
      <c r="C61" s="32"/>
    </row>
    <row r="62" spans="2:3" ht="14.25" customHeight="1" x14ac:dyDescent="0.35">
      <c r="B62" s="32" t="s">
        <v>557</v>
      </c>
      <c r="C62" s="32"/>
    </row>
    <row r="63" spans="2:3" ht="14.25" customHeight="1" x14ac:dyDescent="0.35">
      <c r="B63" s="32"/>
      <c r="C63" s="32"/>
    </row>
    <row r="64" spans="2:3" ht="14.25" customHeight="1" x14ac:dyDescent="0.35">
      <c r="B64" s="32" t="s">
        <v>558</v>
      </c>
      <c r="C64" s="32"/>
    </row>
  </sheetData>
  <mergeCells count="34">
    <mergeCell ref="B5:C5"/>
    <mergeCell ref="B28:C28"/>
    <mergeCell ref="B29:C29"/>
    <mergeCell ref="B30:C30"/>
    <mergeCell ref="B31:C31"/>
    <mergeCell ref="B32:C32"/>
    <mergeCell ref="B33:C33"/>
    <mergeCell ref="B34:C34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1:C61"/>
    <mergeCell ref="B62:C62"/>
    <mergeCell ref="B63:C63"/>
    <mergeCell ref="B64:C64"/>
    <mergeCell ref="B54:C54"/>
    <mergeCell ref="B55:C55"/>
    <mergeCell ref="B56:C56"/>
    <mergeCell ref="B59:C59"/>
    <mergeCell ref="B60:C60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6"/>
  <sheetViews>
    <sheetView showGridLines="0" zoomScaleNormal="100" workbookViewId="0">
      <pane ySplit="4" topLeftCell="A13" activePane="bottomLeft" state="frozen"/>
      <selection pane="bottomLeft" activeCell="B22" sqref="B22"/>
    </sheetView>
  </sheetViews>
  <sheetFormatPr defaultColWidth="8.6328125" defaultRowHeight="14.5" x14ac:dyDescent="0.35"/>
  <cols>
    <col min="1" max="1" width="12" customWidth="1"/>
    <col min="2" max="2" width="40" customWidth="1"/>
    <col min="3" max="3" width="46" customWidth="1"/>
    <col min="4" max="4" width="4" customWidth="1"/>
    <col min="5" max="5" width="18" customWidth="1"/>
    <col min="6" max="6" width="26" customWidth="1"/>
  </cols>
  <sheetData>
    <row r="1" spans="1:6" ht="18" customHeight="1" x14ac:dyDescent="0.4">
      <c r="A1" s="2" t="s">
        <v>559</v>
      </c>
    </row>
    <row r="2" spans="1:6" ht="14.25" customHeight="1" x14ac:dyDescent="0.35">
      <c r="A2" s="3" t="s">
        <v>560</v>
      </c>
    </row>
    <row r="4" spans="1:6" ht="31.5" customHeight="1" x14ac:dyDescent="0.35">
      <c r="A4" s="8" t="s">
        <v>561</v>
      </c>
      <c r="B4" s="8" t="s">
        <v>562</v>
      </c>
      <c r="C4" s="8" t="s">
        <v>563</v>
      </c>
      <c r="E4" s="8" t="s">
        <v>564</v>
      </c>
      <c r="F4" s="8" t="s">
        <v>565</v>
      </c>
    </row>
    <row r="5" spans="1:6" ht="24.75" customHeight="1" x14ac:dyDescent="0.35">
      <c r="A5" s="21" t="s">
        <v>566</v>
      </c>
      <c r="B5" s="21" t="s">
        <v>685</v>
      </c>
      <c r="C5" s="21" t="s">
        <v>569</v>
      </c>
      <c r="E5" s="21" t="s">
        <v>130</v>
      </c>
      <c r="F5" s="21" t="s">
        <v>568</v>
      </c>
    </row>
    <row r="6" spans="1:6" ht="24.75" customHeight="1" x14ac:dyDescent="0.35">
      <c r="A6" s="21" t="s">
        <v>686</v>
      </c>
      <c r="B6" s="21" t="s">
        <v>687</v>
      </c>
      <c r="C6" s="21" t="s">
        <v>567</v>
      </c>
      <c r="E6" s="21" t="s">
        <v>570</v>
      </c>
      <c r="F6" s="21" t="s">
        <v>571</v>
      </c>
    </row>
    <row r="7" spans="1:6" ht="14.25" customHeight="1" x14ac:dyDescent="0.35">
      <c r="A7" s="21" t="s">
        <v>572</v>
      </c>
      <c r="B7" s="21" t="s">
        <v>573</v>
      </c>
      <c r="C7" s="21" t="s">
        <v>574</v>
      </c>
      <c r="E7" s="21" t="s">
        <v>216</v>
      </c>
      <c r="F7" s="21" t="s">
        <v>575</v>
      </c>
    </row>
    <row r="8" spans="1:6" ht="37.5" customHeight="1" x14ac:dyDescent="0.35">
      <c r="A8" s="21" t="s">
        <v>576</v>
      </c>
      <c r="B8" s="21" t="s">
        <v>577</v>
      </c>
      <c r="C8" s="21" t="s">
        <v>567</v>
      </c>
      <c r="E8" s="21" t="s">
        <v>222</v>
      </c>
      <c r="F8" s="21" t="s">
        <v>578</v>
      </c>
    </row>
    <row r="9" spans="1:6" ht="14.25" customHeight="1" x14ac:dyDescent="0.35">
      <c r="A9" s="21" t="s">
        <v>579</v>
      </c>
      <c r="B9" s="21" t="s">
        <v>580</v>
      </c>
      <c r="C9" s="21" t="s">
        <v>581</v>
      </c>
      <c r="E9" s="21" t="s">
        <v>221</v>
      </c>
      <c r="F9" s="21" t="s">
        <v>582</v>
      </c>
    </row>
    <row r="10" spans="1:6" ht="24.75" customHeight="1" x14ac:dyDescent="0.35">
      <c r="A10" s="21" t="s">
        <v>583</v>
      </c>
      <c r="B10" s="21" t="s">
        <v>584</v>
      </c>
      <c r="C10" s="21" t="s">
        <v>574</v>
      </c>
      <c r="E10" s="21" t="s">
        <v>585</v>
      </c>
      <c r="F10" s="21" t="s">
        <v>586</v>
      </c>
    </row>
    <row r="11" spans="1:6" ht="14.25" customHeight="1" x14ac:dyDescent="0.35">
      <c r="A11" s="21" t="s">
        <v>587</v>
      </c>
      <c r="B11" s="21" t="s">
        <v>588</v>
      </c>
      <c r="C11" s="21" t="s">
        <v>589</v>
      </c>
      <c r="E11" s="21" t="s">
        <v>590</v>
      </c>
      <c r="F11" s="21" t="s">
        <v>591</v>
      </c>
    </row>
    <row r="12" spans="1:6" ht="37.5" customHeight="1" x14ac:dyDescent="0.35">
      <c r="A12" s="21" t="s">
        <v>592</v>
      </c>
      <c r="B12" s="21" t="s">
        <v>593</v>
      </c>
      <c r="C12" s="21" t="s">
        <v>594</v>
      </c>
      <c r="E12" s="21" t="s">
        <v>394</v>
      </c>
      <c r="F12" s="21" t="s">
        <v>595</v>
      </c>
    </row>
    <row r="13" spans="1:6" ht="24.75" customHeight="1" x14ac:dyDescent="0.35">
      <c r="A13" s="21" t="s">
        <v>596</v>
      </c>
      <c r="B13" s="21" t="s">
        <v>597</v>
      </c>
      <c r="C13" s="21" t="s">
        <v>589</v>
      </c>
      <c r="E13" s="21" t="s">
        <v>598</v>
      </c>
      <c r="F13" s="21" t="s">
        <v>599</v>
      </c>
    </row>
    <row r="14" spans="1:6" ht="14.25" customHeight="1" x14ac:dyDescent="0.35">
      <c r="A14" s="21" t="s">
        <v>600</v>
      </c>
      <c r="B14" s="21" t="s">
        <v>601</v>
      </c>
      <c r="C14" s="21" t="s">
        <v>602</v>
      </c>
    </row>
    <row r="15" spans="1:6" ht="14.25" customHeight="1" x14ac:dyDescent="0.35">
      <c r="A15" s="21" t="s">
        <v>603</v>
      </c>
      <c r="B15" s="21" t="s">
        <v>604</v>
      </c>
      <c r="C15" s="21" t="s">
        <v>602</v>
      </c>
    </row>
    <row r="16" spans="1:6" ht="14.25" customHeight="1" x14ac:dyDescent="0.35">
      <c r="A16" s="21" t="s">
        <v>605</v>
      </c>
      <c r="B16" s="21" t="s">
        <v>606</v>
      </c>
      <c r="C16" s="21" t="s">
        <v>607</v>
      </c>
    </row>
    <row r="17" spans="1:3" ht="14.25" customHeight="1" x14ac:dyDescent="0.35">
      <c r="A17" s="21" t="s">
        <v>608</v>
      </c>
      <c r="B17" s="21" t="s">
        <v>609</v>
      </c>
      <c r="C17" s="21" t="s">
        <v>610</v>
      </c>
    </row>
    <row r="18" spans="1:3" ht="14.25" customHeight="1" x14ac:dyDescent="0.35">
      <c r="A18" s="21" t="s">
        <v>611</v>
      </c>
      <c r="B18" s="21" t="s">
        <v>612</v>
      </c>
      <c r="C18" s="21" t="s">
        <v>610</v>
      </c>
    </row>
    <row r="19" spans="1:3" ht="14.25" customHeight="1" x14ac:dyDescent="0.35">
      <c r="A19" s="21" t="s">
        <v>613</v>
      </c>
      <c r="B19" s="21" t="s">
        <v>614</v>
      </c>
      <c r="C19" s="21" t="s">
        <v>218</v>
      </c>
    </row>
    <row r="20" spans="1:3" ht="14.25" customHeight="1" x14ac:dyDescent="0.35">
      <c r="A20" s="21" t="s">
        <v>615</v>
      </c>
      <c r="B20" s="21" t="s">
        <v>616</v>
      </c>
      <c r="C20" s="21" t="s">
        <v>218</v>
      </c>
    </row>
    <row r="21" spans="1:3" ht="14.25" customHeight="1" x14ac:dyDescent="0.35">
      <c r="A21" s="21" t="s">
        <v>617</v>
      </c>
      <c r="B21" s="21" t="s">
        <v>618</v>
      </c>
      <c r="C21" s="21" t="s">
        <v>619</v>
      </c>
    </row>
    <row r="22" spans="1:3" ht="14.25" customHeight="1" x14ac:dyDescent="0.35">
      <c r="A22" s="21" t="s">
        <v>620</v>
      </c>
      <c r="B22" s="21" t="s">
        <v>621</v>
      </c>
      <c r="C22" s="21" t="s">
        <v>619</v>
      </c>
    </row>
    <row r="23" spans="1:3" ht="14.25" customHeight="1" x14ac:dyDescent="0.35">
      <c r="A23" s="21" t="s">
        <v>622</v>
      </c>
      <c r="B23" s="21" t="s">
        <v>623</v>
      </c>
      <c r="C23" s="21" t="s">
        <v>218</v>
      </c>
    </row>
    <row r="24" spans="1:3" ht="14.25" customHeight="1" x14ac:dyDescent="0.35">
      <c r="A24" s="21" t="s">
        <v>624</v>
      </c>
      <c r="B24" s="21" t="s">
        <v>625</v>
      </c>
      <c r="C24" s="21" t="s">
        <v>218</v>
      </c>
    </row>
    <row r="25" spans="1:3" ht="14.25" customHeight="1" x14ac:dyDescent="0.35">
      <c r="A25" s="21" t="s">
        <v>626</v>
      </c>
      <c r="B25" s="21" t="s">
        <v>627</v>
      </c>
      <c r="C25" s="21" t="s">
        <v>628</v>
      </c>
    </row>
    <row r="26" spans="1:3" ht="14.25" customHeight="1" x14ac:dyDescent="0.35">
      <c r="A26" s="21" t="s">
        <v>629</v>
      </c>
      <c r="B26" s="21" t="s">
        <v>630</v>
      </c>
      <c r="C26" s="21" t="s">
        <v>631</v>
      </c>
    </row>
    <row r="27" spans="1:3" ht="14.25" customHeight="1" x14ac:dyDescent="0.35">
      <c r="A27" s="21" t="s">
        <v>632</v>
      </c>
      <c r="B27" s="21" t="s">
        <v>633</v>
      </c>
      <c r="C27" s="21" t="s">
        <v>634</v>
      </c>
    </row>
    <row r="28" spans="1:3" ht="14.25" customHeight="1" x14ac:dyDescent="0.35">
      <c r="A28" s="21" t="s">
        <v>635</v>
      </c>
      <c r="B28" s="21" t="s">
        <v>483</v>
      </c>
      <c r="C28" s="21" t="s">
        <v>636</v>
      </c>
    </row>
    <row r="29" spans="1:3" ht="14.25" customHeight="1" x14ac:dyDescent="0.35">
      <c r="A29" s="21" t="s">
        <v>637</v>
      </c>
      <c r="B29" s="21" t="s">
        <v>638</v>
      </c>
      <c r="C29" s="21" t="s">
        <v>639</v>
      </c>
    </row>
    <row r="30" spans="1:3" ht="14.25" customHeight="1" x14ac:dyDescent="0.35">
      <c r="A30" s="21" t="s">
        <v>640</v>
      </c>
      <c r="B30" s="21" t="s">
        <v>641</v>
      </c>
      <c r="C30" s="21" t="s">
        <v>642</v>
      </c>
    </row>
    <row r="31" spans="1:3" ht="14.25" customHeight="1" x14ac:dyDescent="0.35">
      <c r="A31" s="21" t="s">
        <v>643</v>
      </c>
      <c r="B31" s="21" t="s">
        <v>426</v>
      </c>
      <c r="C31" s="21" t="s">
        <v>61</v>
      </c>
    </row>
    <row r="32" spans="1:3" ht="14.25" customHeight="1" x14ac:dyDescent="0.35">
      <c r="A32" s="21" t="s">
        <v>644</v>
      </c>
      <c r="B32" s="21" t="s">
        <v>645</v>
      </c>
      <c r="C32" s="21" t="s">
        <v>589</v>
      </c>
    </row>
    <row r="33" spans="1:3" ht="14.25" customHeight="1" x14ac:dyDescent="0.35">
      <c r="A33" s="21" t="s">
        <v>646</v>
      </c>
      <c r="B33" s="21" t="s">
        <v>647</v>
      </c>
      <c r="C33" s="21" t="s">
        <v>218</v>
      </c>
    </row>
    <row r="34" spans="1:3" ht="14.25" customHeight="1" x14ac:dyDescent="0.35">
      <c r="A34" s="21" t="s">
        <v>648</v>
      </c>
      <c r="B34" s="21" t="s">
        <v>649</v>
      </c>
      <c r="C34" s="21" t="s">
        <v>639</v>
      </c>
    </row>
    <row r="35" spans="1:3" ht="14.25" customHeight="1" x14ac:dyDescent="0.35">
      <c r="A35" s="21" t="s">
        <v>650</v>
      </c>
      <c r="B35" s="21" t="s">
        <v>651</v>
      </c>
      <c r="C35" s="21" t="s">
        <v>652</v>
      </c>
    </row>
    <row r="36" spans="1:3" ht="14.25" customHeight="1" x14ac:dyDescent="0.35">
      <c r="A36" s="21" t="s">
        <v>653</v>
      </c>
      <c r="B36" s="21" t="s">
        <v>654</v>
      </c>
      <c r="C36" s="21" t="s">
        <v>639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5"/>
  <sheetViews>
    <sheetView showGridLines="0" zoomScaleNormal="100" workbookViewId="0">
      <pane ySplit="4" topLeftCell="A5" activePane="bottomLeft" state="frozen"/>
      <selection pane="bottomLeft" activeCell="A16" sqref="A16:XFD16"/>
    </sheetView>
  </sheetViews>
  <sheetFormatPr defaultColWidth="8.6328125" defaultRowHeight="14.5" x14ac:dyDescent="0.35"/>
  <cols>
    <col min="1" max="1" width="11" customWidth="1"/>
    <col min="2" max="2" width="12" customWidth="1"/>
    <col min="3" max="3" width="30" customWidth="1"/>
    <col min="4" max="4" width="18" customWidth="1"/>
    <col min="5" max="5" width="30" customWidth="1"/>
    <col min="6" max="6" width="20" customWidth="1"/>
    <col min="7" max="7" width="10" customWidth="1"/>
    <col min="8" max="8" width="26" customWidth="1"/>
    <col min="9" max="9" width="10" customWidth="1"/>
    <col min="10" max="10" width="16" customWidth="1"/>
    <col min="11" max="11" width="14" customWidth="1"/>
  </cols>
  <sheetData>
    <row r="1" spans="1:11" ht="18" x14ac:dyDescent="0.4">
      <c r="A1" s="2" t="s">
        <v>655</v>
      </c>
    </row>
    <row r="2" spans="1:11" x14ac:dyDescent="0.35">
      <c r="A2" s="24" t="s">
        <v>656</v>
      </c>
    </row>
    <row r="4" spans="1:11" ht="30" customHeight="1" x14ac:dyDescent="0.35">
      <c r="A4" s="8" t="s">
        <v>657</v>
      </c>
      <c r="B4" s="8" t="s">
        <v>50</v>
      </c>
      <c r="C4" s="8" t="s">
        <v>658</v>
      </c>
      <c r="D4" s="8" t="s">
        <v>659</v>
      </c>
      <c r="E4" s="8" t="s">
        <v>660</v>
      </c>
      <c r="F4" s="8" t="s">
        <v>661</v>
      </c>
      <c r="G4" s="8" t="s">
        <v>131</v>
      </c>
      <c r="H4" s="8" t="s">
        <v>662</v>
      </c>
      <c r="I4" s="8" t="s">
        <v>62</v>
      </c>
      <c r="J4" s="8" t="s">
        <v>663</v>
      </c>
      <c r="K4" s="8" t="s">
        <v>393</v>
      </c>
    </row>
    <row r="5" spans="1:11" x14ac:dyDescent="0.35">
      <c r="A5" s="25" t="s">
        <v>664</v>
      </c>
      <c r="B5" s="25" t="s">
        <v>66</v>
      </c>
      <c r="C5" s="25" t="s">
        <v>665</v>
      </c>
      <c r="D5" s="25"/>
      <c r="E5" s="26" t="s">
        <v>666</v>
      </c>
      <c r="F5" s="26" t="s">
        <v>667</v>
      </c>
      <c r="G5" s="25" t="s">
        <v>71</v>
      </c>
      <c r="H5" s="26" t="s">
        <v>668</v>
      </c>
      <c r="I5" s="25" t="s">
        <v>77</v>
      </c>
      <c r="J5" s="27"/>
      <c r="K5" s="26"/>
    </row>
    <row r="6" spans="1:11" x14ac:dyDescent="0.35">
      <c r="A6" s="25" t="s">
        <v>669</v>
      </c>
      <c r="B6" s="25" t="s">
        <v>66</v>
      </c>
      <c r="C6" s="25" t="s">
        <v>670</v>
      </c>
      <c r="D6" s="25"/>
      <c r="E6" s="26" t="s">
        <v>666</v>
      </c>
      <c r="F6" s="26" t="s">
        <v>667</v>
      </c>
      <c r="G6" s="25" t="s">
        <v>71</v>
      </c>
      <c r="H6" s="26" t="s">
        <v>671</v>
      </c>
      <c r="I6" s="25" t="s">
        <v>77</v>
      </c>
      <c r="J6" s="27"/>
      <c r="K6" s="26"/>
    </row>
    <row r="7" spans="1:11" x14ac:dyDescent="0.35">
      <c r="A7" s="25" t="s">
        <v>672</v>
      </c>
      <c r="B7" s="25" t="s">
        <v>80</v>
      </c>
      <c r="C7" s="25" t="s">
        <v>673</v>
      </c>
      <c r="D7" s="25"/>
      <c r="E7" s="26" t="s">
        <v>666</v>
      </c>
      <c r="F7" s="26" t="s">
        <v>667</v>
      </c>
      <c r="G7" s="25" t="s">
        <v>71</v>
      </c>
      <c r="H7" s="26"/>
      <c r="I7" s="25" t="s">
        <v>77</v>
      </c>
      <c r="J7" s="27"/>
      <c r="K7" s="26"/>
    </row>
    <row r="8" spans="1:11" x14ac:dyDescent="0.35">
      <c r="A8" s="25" t="s">
        <v>672</v>
      </c>
      <c r="B8" s="25" t="s">
        <v>84</v>
      </c>
      <c r="C8" s="25" t="s">
        <v>673</v>
      </c>
      <c r="D8" s="25"/>
      <c r="E8" s="26" t="s">
        <v>666</v>
      </c>
      <c r="F8" s="26" t="s">
        <v>667</v>
      </c>
      <c r="G8" s="25" t="s">
        <v>71</v>
      </c>
      <c r="H8" s="26"/>
      <c r="I8" s="25" t="s">
        <v>77</v>
      </c>
      <c r="J8" s="27"/>
      <c r="K8" s="26"/>
    </row>
    <row r="9" spans="1:11" x14ac:dyDescent="0.35">
      <c r="A9" s="25" t="s">
        <v>664</v>
      </c>
      <c r="B9" s="25" t="s">
        <v>88</v>
      </c>
      <c r="C9" s="25" t="s">
        <v>665</v>
      </c>
      <c r="D9" s="25"/>
      <c r="E9" s="26" t="s">
        <v>666</v>
      </c>
      <c r="F9" s="26" t="s">
        <v>667</v>
      </c>
      <c r="G9" s="25" t="s">
        <v>71</v>
      </c>
      <c r="H9" s="26" t="s">
        <v>674</v>
      </c>
      <c r="I9" s="25" t="s">
        <v>77</v>
      </c>
      <c r="J9" s="27"/>
      <c r="K9" s="26"/>
    </row>
    <row r="10" spans="1:11" x14ac:dyDescent="0.35">
      <c r="A10" s="25" t="s">
        <v>675</v>
      </c>
      <c r="B10" s="25" t="s">
        <v>95</v>
      </c>
      <c r="C10" s="25" t="s">
        <v>676</v>
      </c>
      <c r="D10" s="25"/>
      <c r="E10" s="26" t="s">
        <v>666</v>
      </c>
      <c r="F10" s="26" t="s">
        <v>667</v>
      </c>
      <c r="G10" s="25" t="s">
        <v>71</v>
      </c>
      <c r="H10" s="26"/>
      <c r="I10" s="25" t="s">
        <v>77</v>
      </c>
      <c r="J10" s="27"/>
      <c r="K10" s="26"/>
    </row>
    <row r="11" spans="1:11" x14ac:dyDescent="0.35">
      <c r="A11" s="25" t="s">
        <v>664</v>
      </c>
      <c r="B11" s="25" t="s">
        <v>99</v>
      </c>
      <c r="C11" s="25" t="s">
        <v>665</v>
      </c>
      <c r="D11" s="25"/>
      <c r="E11" s="26" t="s">
        <v>666</v>
      </c>
      <c r="F11" s="26" t="s">
        <v>667</v>
      </c>
      <c r="G11" s="25" t="s">
        <v>71</v>
      </c>
      <c r="H11" s="26"/>
      <c r="I11" s="25" t="s">
        <v>77</v>
      </c>
      <c r="J11" s="27"/>
      <c r="K11" s="26"/>
    </row>
    <row r="12" spans="1:11" x14ac:dyDescent="0.35">
      <c r="A12" s="25" t="s">
        <v>672</v>
      </c>
      <c r="B12" s="25" t="s">
        <v>103</v>
      </c>
      <c r="C12" s="25" t="s">
        <v>673</v>
      </c>
      <c r="D12" s="25"/>
      <c r="E12" s="26" t="s">
        <v>666</v>
      </c>
      <c r="F12" s="26" t="s">
        <v>667</v>
      </c>
      <c r="G12" s="25" t="s">
        <v>71</v>
      </c>
      <c r="H12" s="26"/>
      <c r="I12" s="25" t="s">
        <v>77</v>
      </c>
      <c r="J12" s="27"/>
      <c r="K12" s="26"/>
    </row>
    <row r="13" spans="1:11" x14ac:dyDescent="0.35">
      <c r="A13" s="25" t="s">
        <v>672</v>
      </c>
      <c r="B13" s="25" t="s">
        <v>108</v>
      </c>
      <c r="C13" s="25" t="s">
        <v>673</v>
      </c>
      <c r="D13" s="25"/>
      <c r="E13" s="26" t="s">
        <v>666</v>
      </c>
      <c r="F13" s="26" t="s">
        <v>667</v>
      </c>
      <c r="G13" s="25" t="s">
        <v>71</v>
      </c>
      <c r="H13" s="26"/>
      <c r="I13" s="25" t="s">
        <v>77</v>
      </c>
      <c r="J13" s="27"/>
      <c r="K13" s="26"/>
    </row>
    <row r="14" spans="1:11" x14ac:dyDescent="0.35">
      <c r="A14" s="25" t="s">
        <v>677</v>
      </c>
      <c r="B14" s="25" t="s">
        <v>112</v>
      </c>
      <c r="C14" s="25" t="s">
        <v>678</v>
      </c>
      <c r="D14" s="25"/>
      <c r="E14" s="26" t="s">
        <v>666</v>
      </c>
      <c r="F14" s="26" t="s">
        <v>667</v>
      </c>
      <c r="G14" s="25" t="s">
        <v>92</v>
      </c>
      <c r="H14" s="26" t="s">
        <v>679</v>
      </c>
      <c r="I14" s="25" t="s">
        <v>77</v>
      </c>
      <c r="J14" s="27"/>
      <c r="K14" s="26"/>
    </row>
    <row r="15" spans="1:11" x14ac:dyDescent="0.35">
      <c r="A15" s="25" t="s">
        <v>680</v>
      </c>
      <c r="B15" s="25" t="s">
        <v>118</v>
      </c>
      <c r="C15" s="25" t="s">
        <v>667</v>
      </c>
      <c r="D15" s="25"/>
      <c r="E15" s="26" t="s">
        <v>666</v>
      </c>
      <c r="F15" s="26" t="s">
        <v>667</v>
      </c>
      <c r="G15" s="25" t="s">
        <v>121</v>
      </c>
      <c r="H15" s="26" t="s">
        <v>681</v>
      </c>
      <c r="I15" s="25" t="s">
        <v>77</v>
      </c>
      <c r="J15" s="27"/>
      <c r="K15" s="26"/>
    </row>
    <row r="16" spans="1:11" ht="57.5" x14ac:dyDescent="0.35">
      <c r="A16" s="25" t="s">
        <v>677</v>
      </c>
      <c r="B16" s="25" t="s">
        <v>116</v>
      </c>
      <c r="C16" s="25" t="s">
        <v>678</v>
      </c>
      <c r="D16" s="25"/>
      <c r="E16" s="26" t="s">
        <v>666</v>
      </c>
      <c r="F16" s="26" t="s">
        <v>667</v>
      </c>
      <c r="G16" s="25" t="s">
        <v>92</v>
      </c>
      <c r="H16" s="26" t="s">
        <v>683</v>
      </c>
      <c r="I16" s="25" t="s">
        <v>77</v>
      </c>
      <c r="J16" s="27">
        <v>46234</v>
      </c>
      <c r="K16" s="26" t="s">
        <v>684</v>
      </c>
    </row>
    <row r="17" spans="1:11" x14ac:dyDescent="0.35">
      <c r="A17" s="28"/>
      <c r="B17" s="28"/>
      <c r="C17" s="28"/>
      <c r="D17" s="28"/>
      <c r="E17" s="28"/>
      <c r="F17" s="28"/>
      <c r="G17" s="28"/>
      <c r="H17" s="28"/>
      <c r="I17" s="28"/>
      <c r="J17" s="29"/>
      <c r="K17" s="28"/>
    </row>
    <row r="18" spans="1:11" x14ac:dyDescent="0.35">
      <c r="A18" s="28"/>
      <c r="B18" s="28"/>
      <c r="C18" s="28"/>
      <c r="D18" s="28"/>
      <c r="E18" s="28"/>
      <c r="F18" s="28"/>
      <c r="G18" s="28"/>
      <c r="H18" s="28"/>
      <c r="I18" s="28"/>
      <c r="J18" s="29"/>
      <c r="K18" s="28"/>
    </row>
    <row r="19" spans="1:11" x14ac:dyDescent="0.35">
      <c r="A19" s="28"/>
      <c r="B19" s="28"/>
      <c r="C19" s="28"/>
      <c r="D19" s="28"/>
      <c r="E19" s="28"/>
      <c r="F19" s="28"/>
      <c r="G19" s="28"/>
      <c r="H19" s="28"/>
      <c r="I19" s="28"/>
      <c r="J19" s="29"/>
      <c r="K19" s="28"/>
    </row>
    <row r="20" spans="1:11" x14ac:dyDescent="0.35">
      <c r="A20" s="28"/>
      <c r="B20" s="28"/>
      <c r="C20" s="28"/>
      <c r="D20" s="28"/>
      <c r="E20" s="28"/>
      <c r="F20" s="28"/>
      <c r="G20" s="28"/>
      <c r="H20" s="28"/>
      <c r="I20" s="28"/>
      <c r="J20" s="29"/>
      <c r="K20" s="28"/>
    </row>
    <row r="21" spans="1:11" x14ac:dyDescent="0.35">
      <c r="A21" s="28"/>
      <c r="B21" s="28"/>
      <c r="C21" s="28"/>
      <c r="D21" s="28"/>
      <c r="E21" s="28"/>
      <c r="F21" s="28"/>
      <c r="G21" s="28"/>
      <c r="H21" s="28"/>
      <c r="I21" s="28"/>
      <c r="J21" s="29"/>
      <c r="K21" s="28"/>
    </row>
    <row r="22" spans="1:11" x14ac:dyDescent="0.35">
      <c r="A22" s="28"/>
      <c r="B22" s="28"/>
      <c r="C22" s="28"/>
      <c r="D22" s="28"/>
      <c r="E22" s="28"/>
      <c r="F22" s="28"/>
      <c r="G22" s="28"/>
      <c r="H22" s="28"/>
      <c r="I22" s="28"/>
      <c r="J22" s="29"/>
      <c r="K22" s="28"/>
    </row>
    <row r="23" spans="1:11" x14ac:dyDescent="0.35">
      <c r="A23" s="28"/>
      <c r="B23" s="28"/>
      <c r="C23" s="28"/>
      <c r="D23" s="28"/>
      <c r="E23" s="28"/>
      <c r="F23" s="28"/>
      <c r="G23" s="28"/>
      <c r="H23" s="28"/>
      <c r="I23" s="28"/>
      <c r="J23" s="29"/>
      <c r="K23" s="28"/>
    </row>
    <row r="25" spans="1:11" x14ac:dyDescent="0.35">
      <c r="A25" s="35" t="s">
        <v>682</v>
      </c>
      <c r="B25" s="35"/>
      <c r="C25" s="35"/>
      <c r="D25" s="35"/>
      <c r="E25" s="35"/>
      <c r="F25" s="35"/>
      <c r="G25" s="35"/>
      <c r="H25" s="35"/>
    </row>
  </sheetData>
  <mergeCells count="1">
    <mergeCell ref="A25:H2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00 README</vt:lpstr>
      <vt:lpstr>01 Entity</vt:lpstr>
      <vt:lpstr>02 Property &amp; Lease</vt:lpstr>
      <vt:lpstr>03 Employee</vt:lpstr>
      <vt:lpstr>04 Recurring Payments</vt:lpstr>
      <vt:lpstr>05 Vendor</vt:lpstr>
      <vt:lpstr>06 Compliance Calendar</vt:lpstr>
      <vt:lpstr>07 Naming Convention</vt:lpstr>
      <vt:lpstr>08 Code Lists</vt:lpstr>
      <vt:lpstr>09 Bank 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timothy ng</cp:lastModifiedBy>
  <cp:revision>0</cp:revision>
  <dcterms:created xsi:type="dcterms:W3CDTF">2026-07-20T06:21:07Z</dcterms:created>
  <dcterms:modified xsi:type="dcterms:W3CDTF">2026-07-31T09:10:52Z</dcterms:modified>
  <dc:language>en-US</dc:language>
</cp:coreProperties>
</file>