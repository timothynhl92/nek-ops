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1A539BC3-4BA2-47DC-84E6-EC7DEA8A7D05}" xr6:coauthVersionLast="47" xr6:coauthVersionMax="47" xr10:uidLastSave="{00000000-0000-0000-0000-000000000000}"/>
  <bookViews>
    <workbookView xWindow="-110" yWindow="-110" windowWidth="19420" windowHeight="1150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5" i="6" l="1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<sst xmlns="http://schemas.openxmlformats.org/spreadsheetml/2006/main" count="2109" uniqueCount="701">
  <si>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</si>
  <si>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</si>
  <si>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</si>
  <si>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</si>
  <si>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</si>
  <si>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</si>
  <si>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</si>
  <si>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</si>
  <si>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</si>
  <si>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</si>
  <si>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</si>
  <si>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</si>
  <si>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</si>
  <si>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</si>
  <si>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</si>
  <si>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</si>
  <si>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</si>
  <si>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</si>
  <si>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</si>
  <si>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</si>
  <si>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</si>
  <si>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</si>
  <si>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</si>
  <si>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</si>
  <si>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</si>
  <si>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</si>
  <si>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</si>
  <si>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</si>
  <si>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</si>
  <si>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</si>
  <si>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</si>
  <si>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</si>
  <si>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</si>
  <si>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</si>
  <si>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</si>
  <si>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</si>
  <si>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</si>
  <si>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</si>
  <si>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</si>
  <si>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</si>
  <si>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</si>
  <si>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</si>
  <si>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</si>
  <si>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</si>
  <si>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</si>
  <si>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</si>
  <si>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</si>
  <si>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</si>
  <si>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</si>
  <si>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</si>
  <si>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</si>
  <si>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</si>
  <si>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</si>
  <si>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</si>
  <si>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</si>
  <si>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</si>
  <si>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</si>
  <si>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</si>
  <si>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</si>
  <si>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</si>
  <si>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</si>
  <si>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</si>
  <si>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</si>
  <si>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</si>
  <si>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</si>
  <si>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</si>
  <si>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</si>
  <si>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</si>
  <si>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</si>
  <si>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</si>
  <si>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</si>
  <si>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</si>
  <si>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</si>
  <si>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</si>
  <si>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</si>
  <si>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</si>
  <si>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</si>
  <si>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</si>
  <si>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</si>
  <si>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</si>
  <si>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</si>
  <si>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</si>
  <si>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</si>
  <si>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</si>
  <si>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</si>
  <si>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</si>
  <si>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</si>
  <si>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</si>
  <si>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</si>
  <si>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</si>
  <si>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</si>
  <si>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</si>
  <si>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</si>
  <si>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</si>
  <si>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</si>
  <si>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</si>
  <si>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</si>
  <si>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</si>
  <si>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</si>
  <si>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</si>
  <si>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</si>
  <si>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</si>
  <si>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</si>
  <si>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</si>
  <si>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</si>
  <si>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</si>
  <si>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</si>
  <si>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</si>
  <si>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</si>
  <si>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</si>
  <si>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</si>
  <si>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</si>
  <si>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</si>
  <si>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</si>
  <si>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</si>
  <si>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</si>
  <si>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</si>
  <si>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</si>
  <si>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</si>
  <si>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</si>
  <si>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</si>
  <si>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</si>
  <si>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</si>
  <si>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</si>
  <si>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</si>
  <si>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</si>
  <si>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</si>
  <si>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</si>
  <si>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</si>
  <si>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</si>
  <si>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</si>
  <si>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</si>
  <si>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</si>
  <si>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</si>
  <si>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</si>
  <si>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</si>
  <si>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</si>
  <si>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</si>
  <si>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</si>
  <si>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</si>
  <si>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</si>
  <si>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</si>
  <si>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</si>
  <si>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</si>
  <si>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</si>
  <si>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</si>
  <si>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</si>
  <si>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</si>
  <si>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</si>
  <si>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</si>
  <si>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</si>
  <si>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</si>
  <si>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</si>
  <si>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</si>
  <si>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</si>
  <si>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</si>
  <si>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</si>
  <si>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</si>
  <si>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</si>
  <si>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</si>
  <si>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</si>
  <si>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</si>
  <si>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</si>
  <si>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</si>
  <si>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</si>
  <si>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</si>
  <si>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</si>
  <si>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</si>
  <si>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 xml:space="preserve">Sha Tin </t>
  </si>
  <si>
    <t>Sha Tin Riverpark</t>
  </si>
  <si>
    <t>Chinese national</t>
  </si>
  <si>
    <t>None</t>
  </si>
  <si>
    <t>14th of every month</t>
  </si>
  <si>
    <t>-</t>
  </si>
  <si>
    <t>Bank of Communication</t>
  </si>
  <si>
    <t>Victoria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</si>
  <si>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</si>
  <si>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</si>
  <si>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</si>
  <si>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</si>
  <si>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</si>
  <si>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</si>
  <si>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</si>
  <si>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</si>
  <si>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</si>
  <si>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</si>
  <si>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</si>
  <si>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</si>
  <si>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</si>
  <si>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</si>
  <si>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</si>
  <si>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</si>
  <si>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</si>
  <si>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</si>
  <si>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</si>
  <si>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</si>
  <si>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</si>
  <si>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</si>
  <si>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</si>
  <si>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</si>
  <si>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</si>
  <si>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</si>
  <si>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</si>
  <si>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</si>
  <si>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</si>
  <si>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</si>
  <si>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</si>
  <si>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</si>
  <si>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</si>
  <si>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</si>
  <si>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</si>
  <si>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</si>
  <si>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</si>
  <si>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</si>
  <si>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</si>
  <si>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</si>
  <si>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</si>
  <si>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</si>
  <si>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</si>
  <si>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</si>
  <si>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</si>
  <si>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</si>
  <si>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</si>
  <si>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</si>
  <si>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</si>
  <si>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</si>
  <si>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</si>
  <si>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</si>
  <si>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</si>
  <si>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</si>
  <si>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</si>
  <si>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</si>
  <si>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</si>
  <si>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</si>
  <si>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</si>
  <si>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</si>
  <si>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</si>
  <si>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</si>
  <si>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</si>
  <si>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</si>
  <si>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</si>
  <si>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</si>
  <si>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</si>
  <si>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</si>
  <si>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</si>
  <si>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</si>
  <si>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</si>
  <si>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</si>
  <si>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</si>
  <si>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</si>
  <si>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</si>
  <si>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</si>
  <si>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</si>
  <si>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</si>
  <si>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</si>
  <si>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</si>
  <si>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</si>
  <si>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</si>
  <si>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</si>
  <si>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</si>
  <si>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</si>
  <si>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</si>
  <si>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</si>
  <si>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</si>
  <si>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</si>
  <si>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</si>
  <si>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</si>
  <si>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</si>
  <si>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</si>
  <si>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</si>
  <si>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</si>
  <si>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</si>
  <si>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</si>
  <si>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</si>
  <si>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</si>
  <si>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</si>
  <si>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</si>
  <si>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</si>
  <si>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</si>
  <si>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</si>
  <si>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</si>
  <si>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</si>
  <si>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</si>
  <si>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</si>
  <si>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</si>
  <si>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</si>
  <si>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</si>
  <si>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</si>
  <si>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</si>
  <si>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</si>
  <si>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</si>
  <si>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</si>
  <si>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</si>
  <si>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</si>
  <si>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</si>
  <si>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</si>
  <si>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</si>
  <si>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</si>
  <si>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</si>
  <si>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</si>
  <si>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</si>
  <si>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</si>
  <si>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</si>
  <si>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</si>
  <si>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</si>
  <si>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</si>
  <si>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</si>
  <si>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</si>
  <si>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</si>
  <si>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</si>
  <si>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</si>
  <si>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</si>
  <si>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</si>
  <si>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</si>
  <si>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</si>
  <si>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</si>
  <si>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</si>
  <si>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</si>
  <si>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</si>
  <si>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</si>
  <si>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</si>
  <si>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</si>
  <si>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</si>
  <si>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</si>
  <si>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</si>
  <si>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</si>
  <si>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</si>
  <si>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</si>
  <si>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</si>
  <si>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</si>
  <si>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</si>
  <si>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</si>
  <si>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</si>
  <si>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</si>
  <si>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</si>
  <si>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</si>
  <si>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</si>
  <si>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</si>
  <si>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</si>
  <si>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</si>
  <si>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</si>
  <si>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</si>
  <si>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</si>
  <si>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</si>
  <si>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</si>
  <si>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</si>
  <si>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</si>
  <si>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</si>
  <si>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</si>
  <si>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</si>
  <si>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</si>
  <si>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</si>
  <si>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</si>
  <si>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</si>
  <si>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</si>
  <si>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</si>
  <si>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</si>
  <si>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</si>
  <si>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</si>
  <si>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</si>
  <si>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</si>
  <si>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</si>
  <si>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</si>
  <si>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</si>
  <si>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</si>
  <si>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</si>
  <si>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</si>
  <si>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</si>
  <si>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</si>
  <si>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</si>
  <si>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</si>
  <si>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</si>
  <si>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</si>
  <si>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</si>
  <si>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</si>
  <si>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</si>
  <si>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</si>
  <si>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</si>
  <si>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</si>
  <si>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</si>
  <si>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</si>
  <si>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</si>
  <si>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</si>
  <si>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</si>
  <si>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</si>
  <si>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</si>
  <si>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</si>
  <si>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</si>
  <si>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</si>
  <si>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</si>
  <si>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</si>
  <si>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</si>
  <si>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</si>
  <si>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</si>
  <si>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</si>
  <si>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</si>
  <si>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</si>
  <si>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</si>
  <si>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</si>
  <si>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V-001</t>
  </si>
  <si>
    <t>NEKMY01</t>
  </si>
  <si>
    <t>200866000173</t>
  </si>
  <si>
    <t>Account Services</t>
  </si>
  <si>
    <t>n/a</t>
  </si>
  <si>
    <t>15454</t>
  </si>
  <si>
    <t>On statement</t>
  </si>
  <si>
    <t>Yes</t>
  </si>
  <si>
    <t>2026-01-15</t>
  </si>
  <si>
    <t>Tan A</t>
  </si>
  <si>
    <t>Telephone to known no.</t>
  </si>
  <si>
    <t>Account 123456789</t>
  </si>
  <si>
    <t>EXAMPLE ROW — delete before use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</si>
  <si>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</si>
  <si>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</si>
  <si>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</si>
  <si>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</si>
  <si>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</si>
  <si>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</si>
  <si>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</si>
  <si>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</si>
  <si>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</si>
  <si>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</si>
  <si>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</si>
  <si>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</si>
  <si>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</si>
  <si>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</si>
  <si>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</si>
  <si>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</si>
  <si>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</si>
  <si>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</si>
  <si>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</si>
  <si>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</si>
  <si>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</si>
  <si>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</si>
  <si>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</si>
  <si>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</si>
  <si>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</si>
  <si>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</si>
  <si>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</si>
  <si>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</si>
  <si>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</si>
  <si>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</si>
  <si>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</si>
  <si>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</si>
  <si>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</si>
  <si>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</si>
  <si>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</si>
  <si>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</si>
  <si>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</si>
  <si>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</si>
  <si>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</si>
  <si>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</si>
  <si>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</si>
  <si>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</si>
  <si>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</si>
  <si>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</si>
  <si>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</si>
  <si>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</si>
  <si>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</si>
  <si>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</si>
  <si>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</si>
  <si>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</si>
  <si>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</si>
  <si>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</si>
  <si>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</si>
  <si>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</si>
  <si>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</si>
  <si>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</si>
  <si>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</si>
  <si>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</si>
  <si>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</si>
  <si>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</si>
  <si>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</si>
  <si>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</si>
  <si>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</si>
  <si>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</si>
  <si>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</si>
  <si>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</si>
  <si>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</si>
  <si>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</si>
  <si>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</si>
  <si>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</si>
  <si>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</si>
  <si>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</si>
  <si>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</si>
  <si>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</si>
  <si>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</si>
  <si>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</si>
  <si>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</si>
  <si>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</si>
  <si>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</si>
  <si>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</si>
  <si>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</si>
  <si>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</si>
  <si>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</si>
  <si>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</si>
  <si>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</si>
  <si>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</si>
  <si>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</si>
  <si>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</si>
  <si>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</si>
  <si>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</si>
  <si>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</si>
  <si>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</si>
  <si>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</si>
  <si>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</si>
  <si>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</si>
  <si>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</si>
  <si>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</si>
  <si>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</si>
  <si>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</si>
  <si>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</si>
  <si>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</si>
  <si>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</si>
  <si>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</si>
  <si>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</si>
  <si>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</si>
  <si>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</si>
  <si>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</si>
  <si>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</si>
  <si>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</si>
  <si>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</si>
  <si>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</si>
  <si>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</si>
  <si>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</si>
  <si>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</si>
  <si>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</si>
  <si>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</si>
  <si>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</si>
  <si>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</si>
  <si>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</si>
  <si>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</si>
  <si>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</si>
  <si>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</si>
  <si>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</si>
  <si>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</si>
  <si>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</si>
  <si>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</si>
  <si>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</si>
  <si>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</si>
  <si>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</si>
  <si>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</si>
  <si>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</si>
  <si>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</si>
  <si>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</si>
  <si>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</si>
  <si>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</si>
  <si>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</si>
  <si>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</si>
  <si>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</si>
  <si>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</si>
  <si>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</si>
  <si>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</si>
  <si>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</si>
  <si>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</si>
  <si>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</si>
  <si>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</si>
  <si>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</si>
  <si>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</si>
  <si>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</si>
  <si>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</si>
  <si>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</si>
  <si>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</si>
  <si>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</si>
  <si>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</si>
  <si>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</si>
  <si>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</si>
  <si>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</si>
  <si>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</si>
  <si>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</si>
  <si>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</si>
  <si>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</si>
  <si>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</si>
  <si>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</si>
  <si>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</si>
  <si>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</si>
  <si>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</si>
  <si>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</si>
  <si>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</si>
  <si>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</si>
  <si>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</si>
  <si>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Supplier invoice (payable)</t>
  </si>
  <si>
    <t>Vendor code</t>
  </si>
  <si>
    <t>Occupied / Vacant / Notice Given / Under Renovation</t>
  </si>
  <si>
    <t>SIV</t>
  </si>
  <si>
    <t>Sales invoice issued (receivable)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</si>
  <si>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</si>
  <si>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</si>
  <si>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</si>
  <si>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</si>
  <si>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</si>
  <si>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</si>
  <si>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</si>
  <si>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</si>
  <si>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</si>
  <si>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</si>
  <si>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</si>
  <si>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</si>
  <si>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</si>
  <si>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</si>
  <si>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</si>
  <si>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</si>
  <si>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</si>
  <si>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</si>
  <si>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</si>
  <si>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</si>
  <si>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</si>
  <si>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</si>
  <si>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</si>
  <si>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</si>
  <si>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</si>
  <si>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</si>
  <si>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</si>
  <si>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</si>
  <si>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</si>
  <si>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</si>
  <si>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</si>
  <si>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</si>
  <si>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</si>
  <si>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</si>
  <si>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</si>
  <si>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</si>
  <si>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</si>
  <si>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</si>
  <si>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</si>
  <si>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</si>
  <si>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</si>
  <si>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</si>
  <si>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</si>
  <si>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</si>
  <si>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</si>
  <si>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</si>
  <si>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</si>
  <si>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</si>
  <si>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</si>
  <si>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</si>
  <si>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</si>
  <si>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</si>
  <si>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</si>
  <si>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</si>
  <si>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</si>
  <si>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</si>
  <si>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</si>
  <si>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</si>
  <si>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</si>
  <si>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</si>
  <si>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</si>
  <si>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</si>
  <si>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</si>
  <si>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</si>
  <si>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</si>
  <si>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</si>
  <si>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</si>
  <si>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</si>
  <si>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</si>
  <si>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</si>
  <si>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</si>
  <si>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</si>
  <si>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</si>
  <si>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</si>
  <si>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</si>
  <si>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</si>
  <si>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</si>
  <si>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</si>
  <si>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</si>
  <si>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</si>
  <si>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</si>
  <si>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</si>
  <si>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</si>
  <si>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</si>
  <si>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</si>
  <si>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</si>
  <si>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</si>
  <si>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</si>
  <si>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</si>
  <si>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</si>
  <si>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</si>
  <si>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</si>
  <si>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</si>
  <si>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</si>
  <si>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</si>
  <si>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</si>
  <si>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</si>
  <si>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</si>
  <si>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</si>
  <si>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</si>
  <si>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</si>
  <si>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</si>
  <si>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</si>
  <si>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</si>
  <si>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</si>
  <si>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</si>
  <si>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</si>
  <si>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</si>
  <si>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</si>
  <si>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</si>
  <si>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</si>
  <si>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</si>
  <si>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</si>
  <si>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</si>
  <si>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Shared account with NCL (spouses) - Sha Tin rental. Same physical account as NCL|BOCOM; two entity keys, one account.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</si>
</sst>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2" fillId="0" borderId="0" xfId="0" applyFont="1"/>
    <xf numFmtId="0" fontId="10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2" t="s">
        <v>3</v>
      </c>
      <c r="C6" s="32"/>
    </row>
    <row r="7" spans="2:3" ht="14.25" customHeight="1" x14ac:dyDescent="0.35">
      <c r="B7" s="32" t="s">
        <v>4</v>
      </c>
      <c r="C7" s="32"/>
    </row>
    <row r="8" spans="2:3" ht="14.25" customHeight="1" x14ac:dyDescent="0.35">
      <c r="B8" s="32" t="s">
        <v>5</v>
      </c>
      <c r="C8" s="32"/>
    </row>
    <row r="9" spans="2:3" ht="14.25" customHeight="1" x14ac:dyDescent="0.35">
      <c r="B9" s="32" t="s">
        <v>6</v>
      </c>
      <c r="C9" s="32"/>
    </row>
    <row r="10" spans="2:3" ht="14.25" customHeight="1" x14ac:dyDescent="0.35">
      <c r="B10" s="32"/>
      <c r="C10" s="32"/>
    </row>
    <row r="11" spans="2:3" ht="14.25" customHeight="1" x14ac:dyDescent="0.35">
      <c r="B11" s="32" t="s">
        <v>7</v>
      </c>
      <c r="C11" s="32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2" t="s">
        <v>35</v>
      </c>
      <c r="C30" s="32"/>
    </row>
    <row r="31" spans="2:3" ht="14.25" customHeight="1" x14ac:dyDescent="0.35">
      <c r="B31" s="32" t="s">
        <v>36</v>
      </c>
      <c r="C31" s="32"/>
    </row>
    <row r="32" spans="2:3" ht="14.25" customHeight="1" x14ac:dyDescent="0.35">
      <c r="B32" s="32" t="s">
        <v>37</v>
      </c>
      <c r="C32" s="32"/>
    </row>
    <row r="33" spans="2:3" ht="14.25" customHeight="1" x14ac:dyDescent="0.35">
      <c r="B33" s="32" t="s">
        <v>38</v>
      </c>
      <c r="C33" s="32"/>
    </row>
    <row r="34" spans="2:3" ht="14.25" customHeight="1" x14ac:dyDescent="0.35">
      <c r="B34" s="32" t="s">
        <v>39</v>
      </c>
      <c r="C34" s="32"/>
    </row>
    <row r="35" spans="2:3" ht="14.25" customHeight="1" x14ac:dyDescent="0.35">
      <c r="B35" s="32" t="s">
        <v>40</v>
      </c>
      <c r="C35" s="32"/>
    </row>
    <row r="36" spans="2:3" ht="14.25" customHeight="1" x14ac:dyDescent="0.35">
      <c r="B36" s="32" t="s">
        <v>41</v>
      </c>
      <c r="C36" s="32"/>
    </row>
    <row r="38" spans="2:3" ht="14.25" customHeight="1" x14ac:dyDescent="0.35">
      <c r="B38" s="4" t="s">
        <v>42</v>
      </c>
    </row>
    <row r="39" spans="2:3" ht="14.25" customHeight="1" x14ac:dyDescent="0.35">
      <c r="B39" s="32" t="s">
        <v>43</v>
      </c>
      <c r="C39" s="32"/>
    </row>
    <row r="40" spans="2:3" ht="14.25" customHeight="1" x14ac:dyDescent="0.35">
      <c r="B40" s="32" t="s">
        <v>44</v>
      </c>
      <c r="C40" s="32"/>
    </row>
    <row r="41" spans="2:3" ht="14.25" customHeight="1" x14ac:dyDescent="0.35">
      <c r="B41" s="32" t="s">
        <v>45</v>
      </c>
      <c r="C41" s="32"/>
    </row>
    <row r="42" spans="2:3" ht="14.25" customHeight="1" x14ac:dyDescent="0.35">
      <c r="B42" s="32" t="s">
        <v>46</v>
      </c>
      <c r="C42" s="32"/>
    </row>
    <row r="43" spans="2:3" ht="14.25" customHeight="1" x14ac:dyDescent="0.35">
      <c r="B43" s="32" t="s">
        <v>47</v>
      </c>
      <c r="C43" s="32"/>
    </row>
  </sheetData>
  <mergeCells count="18">
    <mergeCell ref="B6:C6"/>
    <mergeCell ref="B7:C7"/>
    <mergeCell ref="B8:C8"/>
    <mergeCell ref="B9:C9"/>
    <mergeCell ref="B10:C10"/>
    <mergeCell ref="B11:C11"/>
    <mergeCell ref="B30:C30"/>
    <mergeCell ref="B31:C31"/>
    <mergeCell ref="B32:C32"/>
    <mergeCell ref="B33:C33"/>
    <mergeCell ref="B41:C41"/>
    <mergeCell ref="B42:C42"/>
    <mergeCell ref="B43:C43"/>
    <mergeCell ref="B34:C34"/>
    <mergeCell ref="B35:C35"/>
    <mergeCell ref="B36:C36"/>
    <mergeCell ref="B39:C39"/>
    <mergeCell ref="B40:C4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77</v>
      </c>
      <c r="N14" s="9"/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352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400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735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536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168</v>
      </c>
      <c r="B9" s="9" t="s">
        <v>116</v>
      </c>
      <c r="C9" s="9" t="s">
        <v>169</v>
      </c>
      <c r="D9" s="9">
        <v>27</v>
      </c>
      <c r="E9" s="9" t="s">
        <v>150</v>
      </c>
      <c r="F9" s="9" t="s">
        <v>170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663</v>
      </c>
      <c r="O9" s="15" t="str">
        <f t="shared" ca="1" si="1"/>
        <v/>
      </c>
      <c r="P9" s="9" t="s">
        <v>171</v>
      </c>
      <c r="Q9" s="9" t="s">
        <v>172</v>
      </c>
      <c r="R9" s="14" t="s">
        <v>173</v>
      </c>
      <c r="S9" s="13" t="s">
        <v>173</v>
      </c>
      <c r="T9" s="13" t="s">
        <v>173</v>
      </c>
      <c r="U9" s="9" t="s">
        <v>174</v>
      </c>
      <c r="V9" s="13"/>
      <c r="W9" s="9" t="s">
        <v>156</v>
      </c>
      <c r="X9" s="9"/>
    </row>
    <row r="10" spans="1:24" ht="15.75" customHeight="1" x14ac:dyDescent="0.35">
      <c r="A10" s="9" t="s">
        <v>175</v>
      </c>
      <c r="B10" s="9" t="s">
        <v>112</v>
      </c>
      <c r="C10" s="9" t="s">
        <v>176</v>
      </c>
      <c r="D10" s="9">
        <v>28</v>
      </c>
      <c r="E10" s="9" t="s">
        <v>150</v>
      </c>
      <c r="F10" s="9" t="s">
        <v>177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110</v>
      </c>
      <c r="O10" s="15" t="str">
        <f t="shared" ca="1" si="1"/>
        <v>Prepare</v>
      </c>
      <c r="P10" s="9" t="s">
        <v>171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178</v>
      </c>
    </row>
    <row r="2" spans="1:18" ht="14.25" customHeight="1" x14ac:dyDescent="0.35">
      <c r="A2" s="16" t="s">
        <v>179</v>
      </c>
    </row>
    <row r="4" spans="1:18" ht="31.5" customHeight="1" x14ac:dyDescent="0.35">
      <c r="A4" s="8" t="s">
        <v>180</v>
      </c>
      <c r="B4" s="8" t="s">
        <v>181</v>
      </c>
      <c r="C4" s="8" t="s">
        <v>182</v>
      </c>
      <c r="D4" s="8" t="s">
        <v>183</v>
      </c>
      <c r="E4" s="8" t="s">
        <v>184</v>
      </c>
      <c r="F4" s="8" t="s">
        <v>185</v>
      </c>
      <c r="G4" s="8" t="s">
        <v>186</v>
      </c>
      <c r="H4" s="8" t="s">
        <v>187</v>
      </c>
      <c r="I4" s="8" t="s">
        <v>188</v>
      </c>
      <c r="J4" s="8" t="s">
        <v>189</v>
      </c>
      <c r="K4" s="8" t="s">
        <v>131</v>
      </c>
      <c r="L4" s="8" t="s">
        <v>190</v>
      </c>
      <c r="M4" s="8" t="s">
        <v>191</v>
      </c>
      <c r="N4" s="8" t="s">
        <v>192</v>
      </c>
      <c r="O4" s="8" t="s">
        <v>193</v>
      </c>
      <c r="P4" s="8" t="s">
        <v>194</v>
      </c>
      <c r="Q4" s="8" t="s">
        <v>62</v>
      </c>
      <c r="R4" s="8" t="s">
        <v>63</v>
      </c>
    </row>
    <row r="5" spans="1:18" ht="15.75" customHeight="1" x14ac:dyDescent="0.35">
      <c r="A5" s="9" t="s">
        <v>195</v>
      </c>
      <c r="B5" s="9" t="s">
        <v>66</v>
      </c>
      <c r="C5" s="9" t="s">
        <v>113</v>
      </c>
      <c r="D5" s="9" t="s">
        <v>196</v>
      </c>
      <c r="E5" s="9" t="s">
        <v>197</v>
      </c>
      <c r="F5" s="9" t="s">
        <v>198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199</v>
      </c>
      <c r="O5" s="13">
        <v>46419</v>
      </c>
      <c r="P5" s="9" t="s">
        <v>200</v>
      </c>
      <c r="Q5" s="9" t="s">
        <v>77</v>
      </c>
      <c r="R5" s="9"/>
    </row>
    <row r="6" spans="1:18" ht="15.75" customHeight="1" x14ac:dyDescent="0.35">
      <c r="A6" s="9" t="s">
        <v>201</v>
      </c>
      <c r="B6" s="9" t="s">
        <v>66</v>
      </c>
      <c r="C6" s="9" t="s">
        <v>98</v>
      </c>
      <c r="D6" s="9" t="s">
        <v>202</v>
      </c>
      <c r="E6" s="9" t="s">
        <v>203</v>
      </c>
      <c r="F6" s="9" t="s">
        <v>198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204</v>
      </c>
      <c r="O6" s="13">
        <v>46419</v>
      </c>
      <c r="P6" s="9" t="s">
        <v>200</v>
      </c>
      <c r="Q6" s="9" t="s">
        <v>77</v>
      </c>
      <c r="R6" s="9"/>
    </row>
    <row r="7" spans="1:18" ht="15.75" customHeight="1" x14ac:dyDescent="0.35">
      <c r="A7" s="9" t="s">
        <v>205</v>
      </c>
      <c r="B7" s="9" t="s">
        <v>66</v>
      </c>
      <c r="C7" s="9" t="s">
        <v>206</v>
      </c>
      <c r="D7" s="9" t="s">
        <v>207</v>
      </c>
      <c r="E7" s="9" t="s">
        <v>208</v>
      </c>
      <c r="F7" s="9" t="s">
        <v>198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204</v>
      </c>
      <c r="O7" s="13">
        <v>46419</v>
      </c>
      <c r="P7" s="9" t="s">
        <v>200</v>
      </c>
      <c r="Q7" s="9" t="s">
        <v>77</v>
      </c>
      <c r="R7" s="9"/>
    </row>
    <row r="8" spans="1:18" ht="15.75" customHeight="1" x14ac:dyDescent="0.35">
      <c r="A8" s="9" t="s">
        <v>209</v>
      </c>
      <c r="B8" s="9" t="s">
        <v>88</v>
      </c>
      <c r="C8" s="9" t="s">
        <v>210</v>
      </c>
      <c r="D8" s="9" t="s">
        <v>211</v>
      </c>
      <c r="E8" s="9" t="s">
        <v>212</v>
      </c>
      <c r="F8" s="9" t="s">
        <v>198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199</v>
      </c>
      <c r="O8" s="13">
        <v>46419</v>
      </c>
      <c r="P8" s="9" t="s">
        <v>200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213</v>
      </c>
    </row>
    <row r="2" spans="1:20" ht="14.25" customHeight="1" x14ac:dyDescent="0.35">
      <c r="A2" s="3" t="s">
        <v>214</v>
      </c>
    </row>
    <row r="4" spans="1:20" ht="39" customHeight="1" x14ac:dyDescent="0.35">
      <c r="A4" s="8" t="s">
        <v>215</v>
      </c>
      <c r="B4" s="8" t="s">
        <v>216</v>
      </c>
      <c r="C4" s="8" t="s">
        <v>217</v>
      </c>
      <c r="D4" s="8" t="s">
        <v>218</v>
      </c>
      <c r="E4" s="8" t="s">
        <v>219</v>
      </c>
      <c r="F4" s="8" t="s">
        <v>220</v>
      </c>
      <c r="G4" s="8" t="s">
        <v>131</v>
      </c>
      <c r="H4" s="8" t="s">
        <v>221</v>
      </c>
      <c r="I4" s="8" t="s">
        <v>222</v>
      </c>
      <c r="J4" s="8" t="s">
        <v>223</v>
      </c>
      <c r="K4" s="8" t="s">
        <v>224</v>
      </c>
      <c r="L4" s="8" t="s">
        <v>225</v>
      </c>
      <c r="M4" s="8" t="s">
        <v>226</v>
      </c>
      <c r="N4" s="8" t="s">
        <v>227</v>
      </c>
      <c r="O4" s="8" t="s">
        <v>228</v>
      </c>
      <c r="P4" s="8" t="s">
        <v>229</v>
      </c>
      <c r="Q4" s="8" t="s">
        <v>230</v>
      </c>
      <c r="R4" s="8" t="s">
        <v>231</v>
      </c>
      <c r="S4" s="8" t="s">
        <v>62</v>
      </c>
      <c r="T4" s="8" t="s">
        <v>63</v>
      </c>
    </row>
    <row r="5" spans="1:20" ht="15.75" customHeight="1" x14ac:dyDescent="0.35">
      <c r="A5" s="9" t="s">
        <v>232</v>
      </c>
      <c r="B5" s="9" t="s">
        <v>66</v>
      </c>
      <c r="C5" s="9" t="s">
        <v>233</v>
      </c>
      <c r="D5" s="9" t="s">
        <v>234</v>
      </c>
      <c r="E5" s="9" t="s">
        <v>235</v>
      </c>
      <c r="F5" s="9" t="s">
        <v>236</v>
      </c>
      <c r="G5" s="9" t="s">
        <v>71</v>
      </c>
      <c r="H5" s="14">
        <f>5262.85+4354.1+5670.2</f>
        <v>15287.150000000001</v>
      </c>
      <c r="I5" s="9" t="s">
        <v>237</v>
      </c>
      <c r="J5" s="9" t="s">
        <v>238</v>
      </c>
      <c r="K5" s="9">
        <v>27</v>
      </c>
      <c r="L5" s="9" t="s">
        <v>239</v>
      </c>
      <c r="M5" s="9" t="s">
        <v>240</v>
      </c>
      <c r="N5" s="9" t="s">
        <v>241</v>
      </c>
      <c r="O5" s="9" t="s">
        <v>242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243</v>
      </c>
      <c r="B6" s="9" t="s">
        <v>66</v>
      </c>
      <c r="C6" s="9" t="s">
        <v>233</v>
      </c>
      <c r="D6" s="9" t="s">
        <v>244</v>
      </c>
      <c r="E6" s="9" t="s">
        <v>245</v>
      </c>
      <c r="F6" s="9" t="s">
        <v>246</v>
      </c>
      <c r="G6" s="9" t="s">
        <v>71</v>
      </c>
      <c r="H6" s="14">
        <f>816+748+612+561+212</f>
        <v>2949</v>
      </c>
      <c r="I6" s="9" t="s">
        <v>237</v>
      </c>
      <c r="J6" s="9" t="s">
        <v>238</v>
      </c>
      <c r="K6" s="9">
        <v>15</v>
      </c>
      <c r="L6" s="9" t="s">
        <v>239</v>
      </c>
      <c r="M6" s="9" t="s">
        <v>240</v>
      </c>
      <c r="N6" s="9" t="s">
        <v>241</v>
      </c>
      <c r="O6" s="9" t="s">
        <v>242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247</v>
      </c>
      <c r="B7" s="9" t="s">
        <v>66</v>
      </c>
      <c r="C7" s="9" t="s">
        <v>233</v>
      </c>
      <c r="D7" s="9" t="s">
        <v>244</v>
      </c>
      <c r="E7" s="9" t="s">
        <v>248</v>
      </c>
      <c r="F7" s="9" t="s">
        <v>249</v>
      </c>
      <c r="G7" s="9" t="s">
        <v>71</v>
      </c>
      <c r="H7" s="14">
        <f>61.9+83.15+23.75+9.5+104.15+11.9+29.75+44.65</f>
        <v>368.75</v>
      </c>
      <c r="I7" s="9" t="s">
        <v>237</v>
      </c>
      <c r="J7" s="9" t="s">
        <v>238</v>
      </c>
      <c r="K7" s="9">
        <v>15</v>
      </c>
      <c r="L7" s="9" t="s">
        <v>239</v>
      </c>
      <c r="M7" s="9" t="s">
        <v>240</v>
      </c>
      <c r="N7" s="9" t="s">
        <v>241</v>
      </c>
      <c r="O7" s="9" t="s">
        <v>242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250</v>
      </c>
      <c r="B8" s="9" t="s">
        <v>66</v>
      </c>
      <c r="C8" s="9" t="s">
        <v>233</v>
      </c>
      <c r="D8" s="9" t="s">
        <v>244</v>
      </c>
      <c r="E8" s="9" t="s">
        <v>251</v>
      </c>
      <c r="F8" s="9" t="s">
        <v>252</v>
      </c>
      <c r="G8" s="9" t="s">
        <v>71</v>
      </c>
      <c r="H8" s="14">
        <f>295.5+116</f>
        <v>411.5</v>
      </c>
      <c r="I8" s="9" t="s">
        <v>237</v>
      </c>
      <c r="J8" s="9" t="s">
        <v>238</v>
      </c>
      <c r="K8" s="30">
        <v>15</v>
      </c>
      <c r="L8" s="9" t="s">
        <v>239</v>
      </c>
      <c r="M8" s="9" t="s">
        <v>240</v>
      </c>
      <c r="N8" s="9" t="s">
        <v>241</v>
      </c>
      <c r="O8" s="9" t="s">
        <v>242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253</v>
      </c>
      <c r="B9" s="9" t="s">
        <v>66</v>
      </c>
      <c r="C9" s="9" t="s">
        <v>233</v>
      </c>
      <c r="D9" s="9" t="s">
        <v>254</v>
      </c>
      <c r="E9" s="9" t="s">
        <v>255</v>
      </c>
      <c r="F9" s="9" t="s">
        <v>256</v>
      </c>
      <c r="G9" s="9" t="s">
        <v>71</v>
      </c>
      <c r="H9" s="14">
        <v>2700</v>
      </c>
      <c r="I9" s="9" t="s">
        <v>237</v>
      </c>
      <c r="J9" s="9" t="s">
        <v>238</v>
      </c>
      <c r="K9" s="30">
        <v>10</v>
      </c>
      <c r="L9" s="9" t="s">
        <v>239</v>
      </c>
      <c r="M9" s="9" t="s">
        <v>240</v>
      </c>
      <c r="N9" s="9" t="s">
        <v>241</v>
      </c>
      <c r="O9" s="9" t="s">
        <v>242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257</v>
      </c>
      <c r="B10" s="9" t="s">
        <v>66</v>
      </c>
      <c r="C10" s="9" t="s">
        <v>233</v>
      </c>
      <c r="D10" s="9" t="s">
        <v>61</v>
      </c>
      <c r="E10" s="9" t="s">
        <v>76</v>
      </c>
      <c r="F10" s="9" t="s">
        <v>258</v>
      </c>
      <c r="G10" s="9" t="s">
        <v>71</v>
      </c>
      <c r="H10" s="14">
        <v>2000</v>
      </c>
      <c r="I10" s="9" t="s">
        <v>237</v>
      </c>
      <c r="J10" s="9" t="s">
        <v>259</v>
      </c>
      <c r="K10" s="30" t="s">
        <v>114</v>
      </c>
      <c r="L10" s="9" t="s">
        <v>239</v>
      </c>
      <c r="M10" s="9" t="s">
        <v>240</v>
      </c>
      <c r="N10" s="9" t="s">
        <v>241</v>
      </c>
      <c r="O10" s="9" t="s">
        <v>242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260</v>
      </c>
      <c r="B11" s="9" t="s">
        <v>66</v>
      </c>
      <c r="C11" s="9" t="s">
        <v>233</v>
      </c>
      <c r="D11" s="9" t="s">
        <v>261</v>
      </c>
      <c r="E11" s="9" t="s">
        <v>75</v>
      </c>
      <c r="F11" s="9" t="s">
        <v>262</v>
      </c>
      <c r="G11" s="9" t="s">
        <v>71</v>
      </c>
      <c r="H11" s="14">
        <v>2000</v>
      </c>
      <c r="I11" s="9" t="s">
        <v>237</v>
      </c>
      <c r="J11" s="9" t="s">
        <v>259</v>
      </c>
      <c r="K11" s="30" t="s">
        <v>114</v>
      </c>
      <c r="L11" s="9" t="s">
        <v>239</v>
      </c>
      <c r="M11" s="9" t="s">
        <v>240</v>
      </c>
      <c r="N11" s="9" t="s">
        <v>241</v>
      </c>
      <c r="O11" s="9" t="s">
        <v>242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263</v>
      </c>
      <c r="B12" s="9" t="s">
        <v>66</v>
      </c>
      <c r="C12" s="9" t="s">
        <v>233</v>
      </c>
      <c r="D12" s="9" t="s">
        <v>264</v>
      </c>
      <c r="E12" s="9" t="s">
        <v>73</v>
      </c>
      <c r="F12" s="9" t="s">
        <v>265</v>
      </c>
      <c r="G12" s="9" t="s">
        <v>71</v>
      </c>
      <c r="H12" s="14">
        <v>1200</v>
      </c>
      <c r="I12" s="9" t="s">
        <v>237</v>
      </c>
      <c r="J12" s="9" t="s">
        <v>266</v>
      </c>
      <c r="K12" s="30" t="s">
        <v>114</v>
      </c>
      <c r="L12" s="9" t="s">
        <v>239</v>
      </c>
      <c r="M12" s="9" t="s">
        <v>240</v>
      </c>
      <c r="N12" s="9" t="s">
        <v>241</v>
      </c>
      <c r="O12" s="9" t="s">
        <v>242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267</v>
      </c>
      <c r="B13" s="9" t="s">
        <v>66</v>
      </c>
      <c r="C13" s="9" t="s">
        <v>233</v>
      </c>
      <c r="D13" s="9" t="s">
        <v>264</v>
      </c>
      <c r="E13" s="9" t="s">
        <v>73</v>
      </c>
      <c r="F13" s="9" t="s">
        <v>268</v>
      </c>
      <c r="G13" s="9" t="s">
        <v>71</v>
      </c>
      <c r="H13" s="14">
        <v>1200</v>
      </c>
      <c r="I13" s="9" t="s">
        <v>237</v>
      </c>
      <c r="J13" s="9" t="s">
        <v>259</v>
      </c>
      <c r="K13" s="30" t="s">
        <v>114</v>
      </c>
      <c r="L13" s="9" t="s">
        <v>239</v>
      </c>
      <c r="M13" s="9" t="s">
        <v>240</v>
      </c>
      <c r="N13" s="9" t="s">
        <v>241</v>
      </c>
      <c r="O13" s="9" t="s">
        <v>242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269</v>
      </c>
      <c r="B14" s="9" t="s">
        <v>88</v>
      </c>
      <c r="C14" s="9" t="s">
        <v>270</v>
      </c>
      <c r="D14" s="9" t="s">
        <v>271</v>
      </c>
      <c r="E14" s="9" t="s">
        <v>272</v>
      </c>
      <c r="F14" s="9" t="s">
        <v>273</v>
      </c>
      <c r="G14" s="9" t="s">
        <v>71</v>
      </c>
      <c r="H14" s="14">
        <v>9000</v>
      </c>
      <c r="I14" s="9" t="s">
        <v>237</v>
      </c>
      <c r="J14" s="9" t="s">
        <v>238</v>
      </c>
      <c r="K14" s="30">
        <v>1</v>
      </c>
      <c r="L14" s="9" t="s">
        <v>239</v>
      </c>
      <c r="M14" s="9" t="s">
        <v>240</v>
      </c>
      <c r="N14" s="9" t="s">
        <v>241</v>
      </c>
      <c r="O14" s="9" t="s">
        <v>242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274</v>
      </c>
      <c r="B15" s="9" t="s">
        <v>88</v>
      </c>
      <c r="C15" s="9" t="s">
        <v>270</v>
      </c>
      <c r="D15" s="9" t="s">
        <v>271</v>
      </c>
      <c r="E15" s="9" t="s">
        <v>275</v>
      </c>
      <c r="F15" s="9" t="s">
        <v>273</v>
      </c>
      <c r="G15" s="9" t="s">
        <v>71</v>
      </c>
      <c r="H15" s="14">
        <v>10000</v>
      </c>
      <c r="I15" s="9" t="s">
        <v>237</v>
      </c>
      <c r="J15" s="9" t="s">
        <v>238</v>
      </c>
      <c r="K15" s="30">
        <v>1</v>
      </c>
      <c r="L15" s="9" t="s">
        <v>239</v>
      </c>
      <c r="M15" s="9" t="s">
        <v>240</v>
      </c>
      <c r="N15" s="9" t="s">
        <v>241</v>
      </c>
      <c r="O15" s="9" t="s">
        <v>242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276</v>
      </c>
      <c r="B16" s="9" t="s">
        <v>88</v>
      </c>
      <c r="C16" s="9" t="s">
        <v>270</v>
      </c>
      <c r="D16" s="9" t="s">
        <v>271</v>
      </c>
      <c r="E16" s="9" t="s">
        <v>277</v>
      </c>
      <c r="F16" s="9" t="s">
        <v>273</v>
      </c>
      <c r="G16" s="9" t="s">
        <v>71</v>
      </c>
      <c r="H16" s="14">
        <v>8750</v>
      </c>
      <c r="I16" s="9" t="s">
        <v>237</v>
      </c>
      <c r="J16" s="9" t="s">
        <v>238</v>
      </c>
      <c r="K16" s="30">
        <v>1</v>
      </c>
      <c r="L16" s="9" t="s">
        <v>239</v>
      </c>
      <c r="M16" s="9" t="s">
        <v>240</v>
      </c>
      <c r="N16" s="9" t="s">
        <v>241</v>
      </c>
      <c r="O16" s="9" t="s">
        <v>242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278</v>
      </c>
      <c r="B17" s="9" t="s">
        <v>88</v>
      </c>
      <c r="C17" s="9" t="s">
        <v>270</v>
      </c>
      <c r="D17" s="9" t="s">
        <v>271</v>
      </c>
      <c r="E17" s="9" t="s">
        <v>279</v>
      </c>
      <c r="F17" s="9" t="s">
        <v>273</v>
      </c>
      <c r="G17" s="9" t="s">
        <v>71</v>
      </c>
      <c r="H17" s="14">
        <v>8500</v>
      </c>
      <c r="I17" s="9" t="s">
        <v>237</v>
      </c>
      <c r="J17" s="9" t="s">
        <v>238</v>
      </c>
      <c r="K17" s="9">
        <v>1</v>
      </c>
      <c r="L17" s="9" t="s">
        <v>239</v>
      </c>
      <c r="M17" s="9" t="s">
        <v>240</v>
      </c>
      <c r="N17" s="9" t="s">
        <v>241</v>
      </c>
      <c r="O17" s="9" t="s">
        <v>242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280</v>
      </c>
      <c r="B18" s="9" t="s">
        <v>88</v>
      </c>
      <c r="C18" s="9" t="s">
        <v>233</v>
      </c>
      <c r="D18" s="9" t="s">
        <v>234</v>
      </c>
      <c r="E18" s="9" t="s">
        <v>281</v>
      </c>
      <c r="F18" s="9" t="s">
        <v>236</v>
      </c>
      <c r="G18" s="9" t="s">
        <v>71</v>
      </c>
      <c r="H18" s="14">
        <v>5321.85</v>
      </c>
      <c r="I18" s="9" t="s">
        <v>237</v>
      </c>
      <c r="J18" s="9" t="s">
        <v>238</v>
      </c>
      <c r="K18" s="9">
        <v>27</v>
      </c>
      <c r="L18" s="9" t="s">
        <v>282</v>
      </c>
      <c r="M18" s="9" t="s">
        <v>240</v>
      </c>
      <c r="N18" s="9" t="s">
        <v>241</v>
      </c>
      <c r="O18" s="9" t="s">
        <v>242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283</v>
      </c>
      <c r="B19" s="9" t="s">
        <v>88</v>
      </c>
      <c r="C19" s="9" t="s">
        <v>233</v>
      </c>
      <c r="D19" s="9" t="s">
        <v>244</v>
      </c>
      <c r="E19" s="9" t="s">
        <v>245</v>
      </c>
      <c r="F19" s="9" t="s">
        <v>246</v>
      </c>
      <c r="G19" s="9" t="s">
        <v>71</v>
      </c>
      <c r="H19" s="14">
        <f>252+693</f>
        <v>945</v>
      </c>
      <c r="I19" s="9" t="s">
        <v>237</v>
      </c>
      <c r="J19" s="9" t="s">
        <v>238</v>
      </c>
      <c r="K19" s="9">
        <v>15</v>
      </c>
      <c r="L19" s="9" t="s">
        <v>239</v>
      </c>
      <c r="M19" s="9" t="s">
        <v>240</v>
      </c>
      <c r="N19" s="9" t="s">
        <v>241</v>
      </c>
      <c r="O19" s="9" t="s">
        <v>242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284</v>
      </c>
      <c r="B20" s="9" t="s">
        <v>88</v>
      </c>
      <c r="C20" s="9" t="s">
        <v>233</v>
      </c>
      <c r="D20" s="9" t="s">
        <v>244</v>
      </c>
      <c r="E20" s="9" t="s">
        <v>248</v>
      </c>
      <c r="F20" s="9" t="s">
        <v>249</v>
      </c>
      <c r="G20" s="9" t="s">
        <v>71</v>
      </c>
      <c r="H20" s="14">
        <v>74.400000000000006</v>
      </c>
      <c r="I20" s="9" t="s">
        <v>237</v>
      </c>
      <c r="J20" s="9" t="s">
        <v>238</v>
      </c>
      <c r="K20" s="9">
        <v>15</v>
      </c>
      <c r="L20" s="9" t="s">
        <v>239</v>
      </c>
      <c r="M20" s="9" t="s">
        <v>240</v>
      </c>
      <c r="N20" s="9" t="s">
        <v>241</v>
      </c>
      <c r="O20" s="9" t="s">
        <v>242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285</v>
      </c>
      <c r="B21" s="9" t="s">
        <v>88</v>
      </c>
      <c r="C21" s="9" t="s">
        <v>233</v>
      </c>
      <c r="D21" s="9" t="s">
        <v>244</v>
      </c>
      <c r="E21" s="9" t="s">
        <v>251</v>
      </c>
      <c r="F21" s="9" t="s">
        <v>252</v>
      </c>
      <c r="G21" s="9" t="s">
        <v>71</v>
      </c>
      <c r="H21" s="14">
        <v>240.5</v>
      </c>
      <c r="I21" s="9" t="s">
        <v>237</v>
      </c>
      <c r="J21" s="9" t="s">
        <v>238</v>
      </c>
      <c r="K21" s="9">
        <v>15</v>
      </c>
      <c r="L21" s="9" t="s">
        <v>239</v>
      </c>
      <c r="M21" s="9" t="s">
        <v>240</v>
      </c>
      <c r="N21" s="9" t="s">
        <v>241</v>
      </c>
      <c r="O21" s="9" t="s">
        <v>242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286</v>
      </c>
      <c r="B22" s="9" t="s">
        <v>88</v>
      </c>
      <c r="C22" s="9" t="s">
        <v>233</v>
      </c>
      <c r="D22" s="9" t="s">
        <v>244</v>
      </c>
      <c r="E22" s="9" t="s">
        <v>251</v>
      </c>
      <c r="F22" s="9" t="s">
        <v>287</v>
      </c>
      <c r="G22" s="9" t="s">
        <v>71</v>
      </c>
      <c r="H22" s="14">
        <v>6500</v>
      </c>
      <c r="I22" s="9" t="s">
        <v>237</v>
      </c>
      <c r="J22" s="9" t="s">
        <v>238</v>
      </c>
      <c r="K22" s="9">
        <v>15</v>
      </c>
      <c r="L22" s="9" t="s">
        <v>239</v>
      </c>
      <c r="M22" s="9" t="s">
        <v>240</v>
      </c>
      <c r="N22" s="9" t="s">
        <v>241</v>
      </c>
      <c r="O22" s="9" t="s">
        <v>242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288</v>
      </c>
      <c r="B23" s="9" t="s">
        <v>88</v>
      </c>
      <c r="C23" s="9" t="s">
        <v>233</v>
      </c>
      <c r="D23" s="9" t="s">
        <v>254</v>
      </c>
      <c r="E23" s="9" t="s">
        <v>289</v>
      </c>
      <c r="F23" s="9" t="s">
        <v>290</v>
      </c>
      <c r="G23" s="9" t="s">
        <v>71</v>
      </c>
      <c r="H23" s="14">
        <v>1017.6</v>
      </c>
      <c r="I23" s="9" t="s">
        <v>237</v>
      </c>
      <c r="J23" s="9" t="s">
        <v>238</v>
      </c>
      <c r="K23" s="9">
        <v>7</v>
      </c>
      <c r="L23" s="9" t="s">
        <v>282</v>
      </c>
      <c r="M23" s="9" t="s">
        <v>240</v>
      </c>
      <c r="N23" s="9" t="s">
        <v>241</v>
      </c>
      <c r="O23" s="9" t="s">
        <v>242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291</v>
      </c>
      <c r="B24" s="9" t="s">
        <v>88</v>
      </c>
      <c r="C24" s="9" t="s">
        <v>233</v>
      </c>
      <c r="D24" s="9" t="s">
        <v>292</v>
      </c>
      <c r="E24" s="9" t="s">
        <v>293</v>
      </c>
      <c r="F24" s="9" t="s">
        <v>294</v>
      </c>
      <c r="G24" s="9" t="s">
        <v>71</v>
      </c>
      <c r="H24" s="14" t="s">
        <v>295</v>
      </c>
      <c r="I24" s="9" t="s">
        <v>237</v>
      </c>
      <c r="J24" s="9" t="s">
        <v>238</v>
      </c>
      <c r="K24" s="9">
        <v>15</v>
      </c>
      <c r="L24" s="9" t="s">
        <v>282</v>
      </c>
      <c r="M24" s="9" t="s">
        <v>240</v>
      </c>
      <c r="N24" s="9" t="s">
        <v>241</v>
      </c>
      <c r="O24" s="9" t="s">
        <v>242</v>
      </c>
      <c r="P24" s="9"/>
      <c r="Q24" s="13"/>
      <c r="R24" s="13"/>
      <c r="S24" s="9" t="s">
        <v>77</v>
      </c>
      <c r="T24" s="9"/>
    </row>
    <row r="25" spans="1:20" ht="15.75" customHeight="1" x14ac:dyDescent="0.35">
      <c r="A25" s="9" t="s">
        <v>296</v>
      </c>
      <c r="B25" s="9" t="s">
        <v>88</v>
      </c>
      <c r="C25" s="9" t="s">
        <v>233</v>
      </c>
      <c r="D25" s="9" t="s">
        <v>297</v>
      </c>
      <c r="E25" s="9" t="s">
        <v>298</v>
      </c>
      <c r="F25" s="9" t="s">
        <v>299</v>
      </c>
      <c r="G25" s="9" t="s">
        <v>71</v>
      </c>
      <c r="H25" s="14">
        <v>1296.58</v>
      </c>
      <c r="I25" s="9" t="s">
        <v>237</v>
      </c>
      <c r="J25" s="9" t="s">
        <v>238</v>
      </c>
      <c r="K25" s="9">
        <v>15</v>
      </c>
      <c r="L25" s="9" t="s">
        <v>282</v>
      </c>
      <c r="M25" s="9" t="s">
        <v>240</v>
      </c>
      <c r="N25" s="9" t="s">
        <v>241</v>
      </c>
      <c r="O25" s="9" t="s">
        <v>242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300</v>
      </c>
      <c r="B26" s="9" t="s">
        <v>88</v>
      </c>
      <c r="C26" s="9" t="s">
        <v>233</v>
      </c>
      <c r="D26" s="9" t="s">
        <v>297</v>
      </c>
      <c r="E26" s="9" t="s">
        <v>298</v>
      </c>
      <c r="F26" s="9" t="s">
        <v>301</v>
      </c>
      <c r="G26" s="9" t="s">
        <v>71</v>
      </c>
      <c r="H26" s="14">
        <v>1296.58</v>
      </c>
      <c r="I26" s="9" t="s">
        <v>237</v>
      </c>
      <c r="J26" s="9" t="s">
        <v>238</v>
      </c>
      <c r="K26" s="9">
        <v>15</v>
      </c>
      <c r="L26" s="9" t="s">
        <v>282</v>
      </c>
      <c r="M26" s="9" t="s">
        <v>240</v>
      </c>
      <c r="N26" s="9" t="s">
        <v>241</v>
      </c>
      <c r="O26" s="9" t="s">
        <v>242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302</v>
      </c>
      <c r="B27" s="9" t="s">
        <v>88</v>
      </c>
      <c r="C27" s="9" t="s">
        <v>233</v>
      </c>
      <c r="D27" s="9" t="s">
        <v>297</v>
      </c>
      <c r="E27" s="9" t="s">
        <v>298</v>
      </c>
      <c r="F27" s="9" t="s">
        <v>303</v>
      </c>
      <c r="G27" s="9" t="s">
        <v>71</v>
      </c>
      <c r="H27" s="14">
        <v>1296.58</v>
      </c>
      <c r="I27" s="9" t="s">
        <v>237</v>
      </c>
      <c r="J27" s="9" t="s">
        <v>238</v>
      </c>
      <c r="K27" s="9">
        <v>15</v>
      </c>
      <c r="L27" s="9" t="s">
        <v>282</v>
      </c>
      <c r="M27" s="9" t="s">
        <v>240</v>
      </c>
      <c r="N27" s="9" t="s">
        <v>241</v>
      </c>
      <c r="O27" s="9" t="s">
        <v>242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304</v>
      </c>
      <c r="B28" s="9" t="s">
        <v>88</v>
      </c>
      <c r="C28" s="9" t="s">
        <v>233</v>
      </c>
      <c r="D28" s="9" t="s">
        <v>297</v>
      </c>
      <c r="E28" s="9" t="s">
        <v>298</v>
      </c>
      <c r="F28" s="9" t="s">
        <v>305</v>
      </c>
      <c r="G28" s="9" t="s">
        <v>71</v>
      </c>
      <c r="H28" s="14">
        <v>1296.58</v>
      </c>
      <c r="I28" s="9" t="s">
        <v>237</v>
      </c>
      <c r="J28" s="9" t="s">
        <v>238</v>
      </c>
      <c r="K28" s="30">
        <v>15</v>
      </c>
      <c r="L28" s="9" t="s">
        <v>282</v>
      </c>
      <c r="M28" s="9" t="s">
        <v>240</v>
      </c>
      <c r="N28" s="9" t="s">
        <v>241</v>
      </c>
      <c r="O28" s="9" t="s">
        <v>242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306</v>
      </c>
      <c r="B29" s="9" t="s">
        <v>88</v>
      </c>
      <c r="C29" s="9" t="s">
        <v>233</v>
      </c>
      <c r="D29" s="9" t="s">
        <v>297</v>
      </c>
      <c r="E29" s="9" t="s">
        <v>298</v>
      </c>
      <c r="F29" s="9" t="s">
        <v>307</v>
      </c>
      <c r="G29" s="9" t="s">
        <v>71</v>
      </c>
      <c r="H29" s="14">
        <v>968.82</v>
      </c>
      <c r="I29" s="9" t="s">
        <v>237</v>
      </c>
      <c r="J29" s="9" t="s">
        <v>238</v>
      </c>
      <c r="K29" s="30">
        <v>15</v>
      </c>
      <c r="L29" s="9" t="s">
        <v>282</v>
      </c>
      <c r="M29" s="9" t="s">
        <v>240</v>
      </c>
      <c r="N29" s="9" t="s">
        <v>241</v>
      </c>
      <c r="O29" s="9" t="s">
        <v>242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308</v>
      </c>
      <c r="B30" s="9" t="s">
        <v>88</v>
      </c>
      <c r="C30" s="9" t="s">
        <v>233</v>
      </c>
      <c r="D30" s="9" t="s">
        <v>309</v>
      </c>
      <c r="E30" s="9" t="s">
        <v>310</v>
      </c>
      <c r="F30" s="9" t="s">
        <v>311</v>
      </c>
      <c r="G30" s="9" t="s">
        <v>71</v>
      </c>
      <c r="H30" s="14">
        <f>146.5*4+109</f>
        <v>695</v>
      </c>
      <c r="I30" s="9" t="s">
        <v>237</v>
      </c>
      <c r="J30" s="9" t="s">
        <v>259</v>
      </c>
      <c r="K30" s="30" t="s">
        <v>114</v>
      </c>
      <c r="L30" s="9" t="s">
        <v>282</v>
      </c>
      <c r="M30" s="9" t="s">
        <v>240</v>
      </c>
      <c r="N30" s="9" t="s">
        <v>241</v>
      </c>
      <c r="O30" s="9" t="s">
        <v>242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312</v>
      </c>
      <c r="B31" s="9" t="s">
        <v>88</v>
      </c>
      <c r="C31" s="9" t="s">
        <v>233</v>
      </c>
      <c r="D31" s="9" t="s">
        <v>309</v>
      </c>
      <c r="E31" s="9" t="s">
        <v>313</v>
      </c>
      <c r="F31" s="9" t="s">
        <v>314</v>
      </c>
      <c r="G31" s="9" t="s">
        <v>71</v>
      </c>
      <c r="H31" s="14">
        <f>1057.35*4+811.8</f>
        <v>5041.2</v>
      </c>
      <c r="I31" s="9" t="s">
        <v>237</v>
      </c>
      <c r="J31" s="9" t="s">
        <v>315</v>
      </c>
      <c r="K31" s="30" t="s">
        <v>316</v>
      </c>
      <c r="L31" s="9" t="s">
        <v>282</v>
      </c>
      <c r="M31" s="9" t="s">
        <v>240</v>
      </c>
      <c r="N31" s="9" t="s">
        <v>241</v>
      </c>
      <c r="O31" s="9" t="s">
        <v>242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317</v>
      </c>
      <c r="B32" s="9" t="s">
        <v>88</v>
      </c>
      <c r="C32" s="9" t="s">
        <v>233</v>
      </c>
      <c r="D32" s="9" t="s">
        <v>61</v>
      </c>
      <c r="E32" s="9" t="s">
        <v>76</v>
      </c>
      <c r="F32" s="9" t="s">
        <v>258</v>
      </c>
      <c r="G32" s="9" t="s">
        <v>71</v>
      </c>
      <c r="H32" s="14">
        <v>2000</v>
      </c>
      <c r="I32" s="9" t="s">
        <v>237</v>
      </c>
      <c r="J32" s="9" t="s">
        <v>259</v>
      </c>
      <c r="K32" s="30" t="s">
        <v>114</v>
      </c>
      <c r="L32" s="9" t="s">
        <v>239</v>
      </c>
      <c r="M32" s="9" t="s">
        <v>240</v>
      </c>
      <c r="N32" s="9" t="s">
        <v>241</v>
      </c>
      <c r="O32" s="9" t="s">
        <v>242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318</v>
      </c>
      <c r="B33" s="9" t="s">
        <v>88</v>
      </c>
      <c r="C33" s="9" t="s">
        <v>233</v>
      </c>
      <c r="D33" s="9" t="s">
        <v>261</v>
      </c>
      <c r="E33" s="9" t="s">
        <v>75</v>
      </c>
      <c r="F33" s="9" t="s">
        <v>262</v>
      </c>
      <c r="G33" s="9" t="s">
        <v>71</v>
      </c>
      <c r="H33" s="14">
        <v>2000</v>
      </c>
      <c r="I33" s="9" t="s">
        <v>237</v>
      </c>
      <c r="J33" s="9" t="s">
        <v>259</v>
      </c>
      <c r="K33" s="30" t="s">
        <v>114</v>
      </c>
      <c r="L33" s="9" t="s">
        <v>239</v>
      </c>
      <c r="M33" s="9" t="s">
        <v>240</v>
      </c>
      <c r="N33" s="9" t="s">
        <v>241</v>
      </c>
      <c r="O33" s="9" t="s">
        <v>242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319</v>
      </c>
      <c r="B34" s="9" t="s">
        <v>88</v>
      </c>
      <c r="C34" s="9" t="s">
        <v>233</v>
      </c>
      <c r="D34" s="9" t="s">
        <v>264</v>
      </c>
      <c r="E34" s="9" t="s">
        <v>73</v>
      </c>
      <c r="F34" s="9" t="s">
        <v>265</v>
      </c>
      <c r="G34" s="9" t="s">
        <v>71</v>
      </c>
      <c r="H34" s="14">
        <v>1200</v>
      </c>
      <c r="I34" s="9" t="s">
        <v>237</v>
      </c>
      <c r="J34" s="9" t="s">
        <v>266</v>
      </c>
      <c r="K34" s="30" t="s">
        <v>114</v>
      </c>
      <c r="L34" s="9" t="s">
        <v>239</v>
      </c>
      <c r="M34" s="9" t="s">
        <v>240</v>
      </c>
      <c r="N34" s="9" t="s">
        <v>241</v>
      </c>
      <c r="O34" s="9" t="s">
        <v>242</v>
      </c>
      <c r="P34" s="9"/>
      <c r="Q34" s="13"/>
      <c r="R34" s="13"/>
      <c r="S34" s="9" t="s">
        <v>77</v>
      </c>
      <c r="T34" s="9"/>
    </row>
    <row r="35" spans="1:20" ht="15.75" customHeight="1" x14ac:dyDescent="0.35">
      <c r="A35" s="9" t="s">
        <v>320</v>
      </c>
      <c r="B35" s="9" t="s">
        <v>88</v>
      </c>
      <c r="C35" s="9" t="s">
        <v>233</v>
      </c>
      <c r="D35" s="9" t="s">
        <v>264</v>
      </c>
      <c r="E35" s="9" t="s">
        <v>73</v>
      </c>
      <c r="F35" s="9" t="s">
        <v>268</v>
      </c>
      <c r="G35" s="9" t="s">
        <v>71</v>
      </c>
      <c r="H35" s="14">
        <v>1200</v>
      </c>
      <c r="I35" s="9" t="s">
        <v>237</v>
      </c>
      <c r="J35" s="9" t="s">
        <v>259</v>
      </c>
      <c r="K35" s="30" t="s">
        <v>114</v>
      </c>
      <c r="L35" s="9" t="s">
        <v>239</v>
      </c>
      <c r="M35" s="9" t="s">
        <v>240</v>
      </c>
      <c r="N35" s="9" t="s">
        <v>241</v>
      </c>
      <c r="O35" s="9" t="s">
        <v>242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321</v>
      </c>
      <c r="B36" s="9" t="s">
        <v>84</v>
      </c>
      <c r="C36" s="9" t="s">
        <v>233</v>
      </c>
      <c r="D36" s="9" t="s">
        <v>292</v>
      </c>
      <c r="E36" s="9" t="s">
        <v>322</v>
      </c>
      <c r="F36" s="9" t="s">
        <v>323</v>
      </c>
      <c r="G36" s="9" t="s">
        <v>71</v>
      </c>
      <c r="H36" s="14">
        <v>104.95</v>
      </c>
      <c r="I36" s="9" t="s">
        <v>237</v>
      </c>
      <c r="J36" s="9" t="s">
        <v>238</v>
      </c>
      <c r="K36" s="30">
        <v>27</v>
      </c>
      <c r="L36" s="9" t="s">
        <v>282</v>
      </c>
      <c r="M36" s="9" t="s">
        <v>324</v>
      </c>
      <c r="N36" s="9" t="s">
        <v>241</v>
      </c>
      <c r="O36" s="9" t="s">
        <v>242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325</v>
      </c>
      <c r="B37" s="9" t="s">
        <v>84</v>
      </c>
      <c r="C37" s="9" t="s">
        <v>233</v>
      </c>
      <c r="D37" s="9" t="s">
        <v>326</v>
      </c>
      <c r="E37" s="9" t="s">
        <v>313</v>
      </c>
      <c r="F37" s="9" t="s">
        <v>327</v>
      </c>
      <c r="G37" s="9" t="s">
        <v>71</v>
      </c>
      <c r="H37" s="14">
        <v>240</v>
      </c>
      <c r="I37" s="9" t="s">
        <v>237</v>
      </c>
      <c r="J37" s="9" t="s">
        <v>259</v>
      </c>
      <c r="K37" s="31" t="s">
        <v>328</v>
      </c>
      <c r="L37" s="9" t="s">
        <v>282</v>
      </c>
      <c r="M37" s="9" t="s">
        <v>324</v>
      </c>
      <c r="N37" s="9" t="s">
        <v>241</v>
      </c>
      <c r="O37" s="9" t="s">
        <v>242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329</v>
      </c>
      <c r="B38" s="9" t="s">
        <v>84</v>
      </c>
      <c r="C38" s="9" t="s">
        <v>233</v>
      </c>
      <c r="D38" s="9" t="s">
        <v>61</v>
      </c>
      <c r="E38" s="9" t="s">
        <v>76</v>
      </c>
      <c r="F38" s="9" t="s">
        <v>258</v>
      </c>
      <c r="G38" s="9" t="s">
        <v>71</v>
      </c>
      <c r="H38" s="14">
        <v>2000</v>
      </c>
      <c r="I38" s="9" t="s">
        <v>237</v>
      </c>
      <c r="J38" s="9" t="s">
        <v>259</v>
      </c>
      <c r="K38" s="30" t="s">
        <v>114</v>
      </c>
      <c r="L38" s="9" t="s">
        <v>239</v>
      </c>
      <c r="M38" s="9" t="s">
        <v>324</v>
      </c>
      <c r="N38" s="9" t="s">
        <v>241</v>
      </c>
      <c r="O38" s="9" t="s">
        <v>242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330</v>
      </c>
      <c r="B39" s="9" t="s">
        <v>84</v>
      </c>
      <c r="C39" s="9" t="s">
        <v>233</v>
      </c>
      <c r="D39" s="9" t="s">
        <v>261</v>
      </c>
      <c r="E39" s="9" t="s">
        <v>75</v>
      </c>
      <c r="F39" s="9" t="s">
        <v>262</v>
      </c>
      <c r="G39" s="9" t="s">
        <v>71</v>
      </c>
      <c r="H39" s="14">
        <v>2000</v>
      </c>
      <c r="I39" s="9" t="s">
        <v>237</v>
      </c>
      <c r="J39" s="9" t="s">
        <v>259</v>
      </c>
      <c r="K39" s="30" t="s">
        <v>114</v>
      </c>
      <c r="L39" s="9" t="s">
        <v>239</v>
      </c>
      <c r="M39" s="9" t="s">
        <v>324</v>
      </c>
      <c r="N39" s="9" t="s">
        <v>241</v>
      </c>
      <c r="O39" s="9" t="s">
        <v>242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331</v>
      </c>
      <c r="B40" s="9" t="s">
        <v>84</v>
      </c>
      <c r="C40" s="9" t="s">
        <v>233</v>
      </c>
      <c r="D40" s="9" t="s">
        <v>264</v>
      </c>
      <c r="E40" s="9" t="s">
        <v>73</v>
      </c>
      <c r="F40" s="9" t="s">
        <v>265</v>
      </c>
      <c r="G40" s="9" t="s">
        <v>71</v>
      </c>
      <c r="H40" s="14">
        <v>1200</v>
      </c>
      <c r="I40" s="9" t="s">
        <v>237</v>
      </c>
      <c r="J40" s="9" t="s">
        <v>266</v>
      </c>
      <c r="K40" s="30" t="s">
        <v>114</v>
      </c>
      <c r="L40" s="9" t="s">
        <v>239</v>
      </c>
      <c r="M40" s="9" t="s">
        <v>324</v>
      </c>
      <c r="N40" s="9" t="s">
        <v>241</v>
      </c>
      <c r="O40" s="9" t="s">
        <v>242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332</v>
      </c>
      <c r="B41" s="9" t="s">
        <v>84</v>
      </c>
      <c r="C41" s="9" t="s">
        <v>233</v>
      </c>
      <c r="D41" s="9" t="s">
        <v>264</v>
      </c>
      <c r="E41" s="9" t="s">
        <v>73</v>
      </c>
      <c r="F41" s="9" t="s">
        <v>268</v>
      </c>
      <c r="G41" s="9" t="s">
        <v>71</v>
      </c>
      <c r="H41" s="14">
        <v>1200</v>
      </c>
      <c r="I41" s="9" t="s">
        <v>237</v>
      </c>
      <c r="J41" s="9" t="s">
        <v>259</v>
      </c>
      <c r="K41" s="30" t="s">
        <v>114</v>
      </c>
      <c r="L41" s="9" t="s">
        <v>239</v>
      </c>
      <c r="M41" s="9" t="s">
        <v>324</v>
      </c>
      <c r="N41" s="9" t="s">
        <v>241</v>
      </c>
      <c r="O41" s="9" t="s">
        <v>242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333</v>
      </c>
      <c r="B42" s="9" t="s">
        <v>80</v>
      </c>
      <c r="C42" s="9" t="s">
        <v>233</v>
      </c>
      <c r="D42" s="9" t="s">
        <v>61</v>
      </c>
      <c r="E42" s="9" t="s">
        <v>76</v>
      </c>
      <c r="F42" s="9" t="s">
        <v>258</v>
      </c>
      <c r="G42" s="9" t="s">
        <v>71</v>
      </c>
      <c r="H42" s="14">
        <v>2000</v>
      </c>
      <c r="I42" s="9" t="s">
        <v>237</v>
      </c>
      <c r="J42" s="9" t="s">
        <v>259</v>
      </c>
      <c r="K42" s="30" t="s">
        <v>114</v>
      </c>
      <c r="L42" s="9" t="s">
        <v>239</v>
      </c>
      <c r="M42" s="9" t="s">
        <v>324</v>
      </c>
      <c r="N42" s="9" t="s">
        <v>241</v>
      </c>
      <c r="O42" s="9" t="s">
        <v>242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334</v>
      </c>
      <c r="B43" s="9" t="s">
        <v>80</v>
      </c>
      <c r="C43" s="9" t="s">
        <v>233</v>
      </c>
      <c r="D43" s="9" t="s">
        <v>261</v>
      </c>
      <c r="E43" s="9" t="s">
        <v>75</v>
      </c>
      <c r="F43" s="9" t="s">
        <v>262</v>
      </c>
      <c r="G43" s="9" t="s">
        <v>71</v>
      </c>
      <c r="H43" s="14">
        <v>2000</v>
      </c>
      <c r="I43" s="9" t="s">
        <v>237</v>
      </c>
      <c r="J43" s="9" t="s">
        <v>259</v>
      </c>
      <c r="K43" s="30" t="s">
        <v>114</v>
      </c>
      <c r="L43" s="9" t="s">
        <v>239</v>
      </c>
      <c r="M43" s="9" t="s">
        <v>324</v>
      </c>
      <c r="N43" s="9" t="s">
        <v>241</v>
      </c>
      <c r="O43" s="9" t="s">
        <v>242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335</v>
      </c>
      <c r="B44" s="9" t="s">
        <v>80</v>
      </c>
      <c r="C44" s="9" t="s">
        <v>233</v>
      </c>
      <c r="D44" s="9" t="s">
        <v>264</v>
      </c>
      <c r="E44" s="9" t="s">
        <v>73</v>
      </c>
      <c r="F44" s="9" t="s">
        <v>265</v>
      </c>
      <c r="G44" s="9" t="s">
        <v>71</v>
      </c>
      <c r="H44" s="14">
        <v>1200</v>
      </c>
      <c r="I44" s="9" t="s">
        <v>237</v>
      </c>
      <c r="J44" s="9" t="s">
        <v>266</v>
      </c>
      <c r="K44" s="30" t="s">
        <v>114</v>
      </c>
      <c r="L44" s="9" t="s">
        <v>239</v>
      </c>
      <c r="M44" s="9" t="s">
        <v>324</v>
      </c>
      <c r="N44" s="9" t="s">
        <v>241</v>
      </c>
      <c r="O44" s="9" t="s">
        <v>242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336</v>
      </c>
      <c r="B45" s="9" t="s">
        <v>80</v>
      </c>
      <c r="C45" s="9" t="s">
        <v>233</v>
      </c>
      <c r="D45" s="9" t="s">
        <v>264</v>
      </c>
      <c r="E45" s="9" t="s">
        <v>73</v>
      </c>
      <c r="F45" s="9" t="s">
        <v>268</v>
      </c>
      <c r="G45" s="9" t="s">
        <v>71</v>
      </c>
      <c r="H45" s="14">
        <v>1200</v>
      </c>
      <c r="I45" s="9" t="s">
        <v>237</v>
      </c>
      <c r="J45" s="9" t="s">
        <v>259</v>
      </c>
      <c r="K45" s="30" t="s">
        <v>114</v>
      </c>
      <c r="L45" s="9" t="s">
        <v>239</v>
      </c>
      <c r="M45" s="9" t="s">
        <v>324</v>
      </c>
      <c r="N45" s="9" t="s">
        <v>241</v>
      </c>
      <c r="O45" s="9" t="s">
        <v>242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337</v>
      </c>
      <c r="B46" s="9" t="s">
        <v>95</v>
      </c>
      <c r="C46" s="9" t="s">
        <v>233</v>
      </c>
      <c r="D46" s="9" t="s">
        <v>61</v>
      </c>
      <c r="E46" s="9" t="s">
        <v>76</v>
      </c>
      <c r="F46" s="9" t="s">
        <v>258</v>
      </c>
      <c r="G46" s="9" t="s">
        <v>71</v>
      </c>
      <c r="H46" s="14">
        <v>2000</v>
      </c>
      <c r="I46" s="9" t="s">
        <v>237</v>
      </c>
      <c r="J46" s="9" t="s">
        <v>259</v>
      </c>
      <c r="K46" s="30" t="s">
        <v>114</v>
      </c>
      <c r="L46" s="9" t="s">
        <v>239</v>
      </c>
      <c r="M46" s="9" t="s">
        <v>338</v>
      </c>
      <c r="N46" s="9" t="s">
        <v>241</v>
      </c>
      <c r="O46" s="9" t="s">
        <v>242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339</v>
      </c>
      <c r="B47" s="9" t="s">
        <v>95</v>
      </c>
      <c r="C47" s="9" t="s">
        <v>233</v>
      </c>
      <c r="D47" s="9" t="s">
        <v>261</v>
      </c>
      <c r="E47" s="9" t="s">
        <v>75</v>
      </c>
      <c r="F47" s="9" t="s">
        <v>262</v>
      </c>
      <c r="G47" s="9" t="s">
        <v>71</v>
      </c>
      <c r="H47" s="14">
        <v>2000</v>
      </c>
      <c r="I47" s="9" t="s">
        <v>237</v>
      </c>
      <c r="J47" s="9" t="s">
        <v>259</v>
      </c>
      <c r="K47" s="30" t="s">
        <v>114</v>
      </c>
      <c r="L47" s="9" t="s">
        <v>239</v>
      </c>
      <c r="M47" s="9" t="s">
        <v>338</v>
      </c>
      <c r="N47" s="9" t="s">
        <v>241</v>
      </c>
      <c r="O47" s="9" t="s">
        <v>242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340</v>
      </c>
      <c r="B48" s="9" t="s">
        <v>95</v>
      </c>
      <c r="C48" s="9" t="s">
        <v>233</v>
      </c>
      <c r="D48" s="9" t="s">
        <v>264</v>
      </c>
      <c r="E48" s="9" t="s">
        <v>73</v>
      </c>
      <c r="F48" s="9" t="s">
        <v>265</v>
      </c>
      <c r="G48" s="9" t="s">
        <v>71</v>
      </c>
      <c r="H48" s="14">
        <v>1200</v>
      </c>
      <c r="I48" s="9" t="s">
        <v>237</v>
      </c>
      <c r="J48" s="9" t="s">
        <v>266</v>
      </c>
      <c r="K48" s="30" t="s">
        <v>114</v>
      </c>
      <c r="L48" s="9" t="s">
        <v>239</v>
      </c>
      <c r="M48" s="9" t="s">
        <v>338</v>
      </c>
      <c r="N48" s="9" t="s">
        <v>241</v>
      </c>
      <c r="O48" s="9" t="s">
        <v>242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341</v>
      </c>
      <c r="B49" s="9" t="s">
        <v>95</v>
      </c>
      <c r="C49" s="9" t="s">
        <v>233</v>
      </c>
      <c r="D49" s="9" t="s">
        <v>264</v>
      </c>
      <c r="E49" s="9" t="s">
        <v>73</v>
      </c>
      <c r="F49" s="9" t="s">
        <v>268</v>
      </c>
      <c r="G49" s="9" t="s">
        <v>71</v>
      </c>
      <c r="H49" s="14">
        <v>1200</v>
      </c>
      <c r="I49" s="9" t="s">
        <v>237</v>
      </c>
      <c r="J49" s="9" t="s">
        <v>259</v>
      </c>
      <c r="K49" s="30" t="s">
        <v>114</v>
      </c>
      <c r="L49" s="9" t="s">
        <v>239</v>
      </c>
      <c r="M49" s="9" t="s">
        <v>338</v>
      </c>
      <c r="N49" s="9" t="s">
        <v>241</v>
      </c>
      <c r="O49" s="9" t="s">
        <v>242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342</v>
      </c>
      <c r="B50" s="9" t="s">
        <v>99</v>
      </c>
      <c r="C50" s="9" t="s">
        <v>233</v>
      </c>
      <c r="D50" s="9" t="s">
        <v>61</v>
      </c>
      <c r="E50" s="9" t="s">
        <v>76</v>
      </c>
      <c r="F50" s="9" t="s">
        <v>258</v>
      </c>
      <c r="G50" s="9" t="s">
        <v>71</v>
      </c>
      <c r="H50" s="14">
        <v>2000</v>
      </c>
      <c r="I50" s="9" t="s">
        <v>237</v>
      </c>
      <c r="J50" s="9" t="s">
        <v>259</v>
      </c>
      <c r="K50" s="30" t="s">
        <v>114</v>
      </c>
      <c r="L50" s="9" t="s">
        <v>239</v>
      </c>
      <c r="M50" s="9" t="s">
        <v>240</v>
      </c>
      <c r="N50" s="9" t="s">
        <v>241</v>
      </c>
      <c r="O50" s="9" t="s">
        <v>242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343</v>
      </c>
      <c r="B51" s="9" t="s">
        <v>99</v>
      </c>
      <c r="C51" s="9" t="s">
        <v>233</v>
      </c>
      <c r="D51" s="9" t="s">
        <v>261</v>
      </c>
      <c r="E51" s="9" t="s">
        <v>75</v>
      </c>
      <c r="F51" s="9" t="s">
        <v>262</v>
      </c>
      <c r="G51" s="9" t="s">
        <v>71</v>
      </c>
      <c r="H51" s="14">
        <v>2000</v>
      </c>
      <c r="I51" s="9" t="s">
        <v>237</v>
      </c>
      <c r="J51" s="9" t="s">
        <v>259</v>
      </c>
      <c r="K51" s="30" t="s">
        <v>114</v>
      </c>
      <c r="L51" s="9" t="s">
        <v>239</v>
      </c>
      <c r="M51" s="9" t="s">
        <v>240</v>
      </c>
      <c r="N51" s="9" t="s">
        <v>241</v>
      </c>
      <c r="O51" s="9" t="s">
        <v>242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344</v>
      </c>
      <c r="B52" s="9" t="s">
        <v>99</v>
      </c>
      <c r="C52" s="9" t="s">
        <v>233</v>
      </c>
      <c r="D52" s="9" t="s">
        <v>264</v>
      </c>
      <c r="E52" s="9" t="s">
        <v>73</v>
      </c>
      <c r="F52" s="9" t="s">
        <v>265</v>
      </c>
      <c r="G52" s="9" t="s">
        <v>71</v>
      </c>
      <c r="H52" s="14">
        <v>1200</v>
      </c>
      <c r="I52" s="9" t="s">
        <v>237</v>
      </c>
      <c r="J52" s="9" t="s">
        <v>266</v>
      </c>
      <c r="K52" s="30" t="s">
        <v>114</v>
      </c>
      <c r="L52" s="9" t="s">
        <v>239</v>
      </c>
      <c r="M52" s="9" t="s">
        <v>240</v>
      </c>
      <c r="N52" s="9" t="s">
        <v>241</v>
      </c>
      <c r="O52" s="9" t="s">
        <v>242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345</v>
      </c>
      <c r="B53" s="9" t="s">
        <v>99</v>
      </c>
      <c r="C53" s="9" t="s">
        <v>233</v>
      </c>
      <c r="D53" s="9" t="s">
        <v>264</v>
      </c>
      <c r="E53" s="9" t="s">
        <v>73</v>
      </c>
      <c r="F53" s="9" t="s">
        <v>268</v>
      </c>
      <c r="G53" s="9" t="s">
        <v>71</v>
      </c>
      <c r="H53" s="14">
        <v>1200</v>
      </c>
      <c r="I53" s="9" t="s">
        <v>237</v>
      </c>
      <c r="J53" s="9" t="s">
        <v>259</v>
      </c>
      <c r="K53" s="30" t="s">
        <v>114</v>
      </c>
      <c r="L53" s="9" t="s">
        <v>239</v>
      </c>
      <c r="M53" s="9" t="s">
        <v>240</v>
      </c>
      <c r="N53" s="9" t="s">
        <v>241</v>
      </c>
      <c r="O53" s="9" t="s">
        <v>242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346</v>
      </c>
      <c r="B54" s="9" t="s">
        <v>103</v>
      </c>
      <c r="C54" s="9" t="s">
        <v>233</v>
      </c>
      <c r="D54" s="9" t="s">
        <v>61</v>
      </c>
      <c r="E54" s="9" t="s">
        <v>76</v>
      </c>
      <c r="F54" s="9" t="s">
        <v>258</v>
      </c>
      <c r="G54" s="9" t="s">
        <v>71</v>
      </c>
      <c r="H54" s="14">
        <v>2000</v>
      </c>
      <c r="I54" s="9" t="s">
        <v>237</v>
      </c>
      <c r="J54" s="9" t="s">
        <v>259</v>
      </c>
      <c r="K54" s="30" t="s">
        <v>114</v>
      </c>
      <c r="L54" s="9" t="s">
        <v>239</v>
      </c>
      <c r="M54" s="9" t="s">
        <v>324</v>
      </c>
      <c r="N54" s="9" t="s">
        <v>241</v>
      </c>
      <c r="O54" s="9" t="s">
        <v>242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347</v>
      </c>
      <c r="B55" s="9" t="s">
        <v>103</v>
      </c>
      <c r="C55" s="9" t="s">
        <v>233</v>
      </c>
      <c r="D55" s="9" t="s">
        <v>261</v>
      </c>
      <c r="E55" s="9" t="s">
        <v>75</v>
      </c>
      <c r="F55" s="9" t="s">
        <v>262</v>
      </c>
      <c r="G55" s="9" t="s">
        <v>71</v>
      </c>
      <c r="H55" s="14">
        <v>2000</v>
      </c>
      <c r="I55" s="9" t="s">
        <v>237</v>
      </c>
      <c r="J55" s="9" t="s">
        <v>259</v>
      </c>
      <c r="K55" s="30" t="s">
        <v>114</v>
      </c>
      <c r="L55" s="9" t="s">
        <v>239</v>
      </c>
      <c r="M55" s="9" t="s">
        <v>324</v>
      </c>
      <c r="N55" s="9" t="s">
        <v>241</v>
      </c>
      <c r="O55" s="9" t="s">
        <v>242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348</v>
      </c>
      <c r="B56" s="9" t="s">
        <v>103</v>
      </c>
      <c r="C56" s="9" t="s">
        <v>233</v>
      </c>
      <c r="D56" s="9" t="s">
        <v>264</v>
      </c>
      <c r="E56" s="9" t="s">
        <v>73</v>
      </c>
      <c r="F56" s="9" t="s">
        <v>265</v>
      </c>
      <c r="G56" s="9" t="s">
        <v>71</v>
      </c>
      <c r="H56" s="14">
        <v>1200</v>
      </c>
      <c r="I56" s="9" t="s">
        <v>237</v>
      </c>
      <c r="J56" s="9" t="s">
        <v>266</v>
      </c>
      <c r="K56" s="30" t="s">
        <v>114</v>
      </c>
      <c r="L56" s="9" t="s">
        <v>239</v>
      </c>
      <c r="M56" s="9" t="s">
        <v>324</v>
      </c>
      <c r="N56" s="9" t="s">
        <v>241</v>
      </c>
      <c r="O56" s="9" t="s">
        <v>242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349</v>
      </c>
      <c r="B57" s="9" t="s">
        <v>103</v>
      </c>
      <c r="C57" s="9" t="s">
        <v>233</v>
      </c>
      <c r="D57" s="9" t="s">
        <v>264</v>
      </c>
      <c r="E57" s="9" t="s">
        <v>73</v>
      </c>
      <c r="F57" s="9" t="s">
        <v>268</v>
      </c>
      <c r="G57" s="9" t="s">
        <v>71</v>
      </c>
      <c r="H57" s="14">
        <v>1200</v>
      </c>
      <c r="I57" s="9" t="s">
        <v>237</v>
      </c>
      <c r="J57" s="9" t="s">
        <v>259</v>
      </c>
      <c r="K57" s="30" t="s">
        <v>114</v>
      </c>
      <c r="L57" s="9" t="s">
        <v>239</v>
      </c>
      <c r="M57" s="9" t="s">
        <v>324</v>
      </c>
      <c r="N57" s="9" t="s">
        <v>241</v>
      </c>
      <c r="O57" s="9" t="s">
        <v>242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350</v>
      </c>
      <c r="B58" s="9" t="s">
        <v>108</v>
      </c>
      <c r="C58" s="9" t="s">
        <v>233</v>
      </c>
      <c r="D58" s="9" t="s">
        <v>61</v>
      </c>
      <c r="E58" s="9" t="s">
        <v>76</v>
      </c>
      <c r="F58" s="9" t="s">
        <v>258</v>
      </c>
      <c r="G58" s="9" t="s">
        <v>71</v>
      </c>
      <c r="H58" s="14">
        <v>2000</v>
      </c>
      <c r="I58" s="9" t="s">
        <v>237</v>
      </c>
      <c r="J58" s="9" t="s">
        <v>259</v>
      </c>
      <c r="K58" s="30" t="s">
        <v>114</v>
      </c>
      <c r="L58" s="9" t="s">
        <v>239</v>
      </c>
      <c r="M58" s="9" t="s">
        <v>324</v>
      </c>
      <c r="N58" s="9" t="s">
        <v>241</v>
      </c>
      <c r="O58" s="9" t="s">
        <v>242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351</v>
      </c>
      <c r="B59" s="9" t="s">
        <v>108</v>
      </c>
      <c r="C59" s="9" t="s">
        <v>233</v>
      </c>
      <c r="D59" s="9" t="s">
        <v>261</v>
      </c>
      <c r="E59" s="9" t="s">
        <v>75</v>
      </c>
      <c r="F59" s="9" t="s">
        <v>262</v>
      </c>
      <c r="G59" s="9" t="s">
        <v>71</v>
      </c>
      <c r="H59" s="14">
        <v>2000</v>
      </c>
      <c r="I59" s="9" t="s">
        <v>237</v>
      </c>
      <c r="J59" s="9" t="s">
        <v>259</v>
      </c>
      <c r="K59" s="30" t="s">
        <v>114</v>
      </c>
      <c r="L59" s="9" t="s">
        <v>239</v>
      </c>
      <c r="M59" s="9" t="s">
        <v>324</v>
      </c>
      <c r="N59" s="9" t="s">
        <v>241</v>
      </c>
      <c r="O59" s="9" t="s">
        <v>242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352</v>
      </c>
      <c r="B60" s="9" t="s">
        <v>108</v>
      </c>
      <c r="C60" s="9" t="s">
        <v>233</v>
      </c>
      <c r="D60" s="9" t="s">
        <v>264</v>
      </c>
      <c r="E60" s="9" t="s">
        <v>73</v>
      </c>
      <c r="F60" s="9" t="s">
        <v>265</v>
      </c>
      <c r="G60" s="9" t="s">
        <v>71</v>
      </c>
      <c r="H60" s="14">
        <v>1200</v>
      </c>
      <c r="I60" s="9" t="s">
        <v>237</v>
      </c>
      <c r="J60" s="9" t="s">
        <v>266</v>
      </c>
      <c r="K60" s="30" t="s">
        <v>114</v>
      </c>
      <c r="L60" s="9" t="s">
        <v>239</v>
      </c>
      <c r="M60" s="9" t="s">
        <v>324</v>
      </c>
      <c r="N60" s="9" t="s">
        <v>241</v>
      </c>
      <c r="O60" s="9" t="s">
        <v>242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353</v>
      </c>
      <c r="B61" s="9" t="s">
        <v>108</v>
      </c>
      <c r="C61" s="9" t="s">
        <v>233</v>
      </c>
      <c r="D61" s="9" t="s">
        <v>264</v>
      </c>
      <c r="E61" s="9" t="s">
        <v>73</v>
      </c>
      <c r="F61" s="9" t="s">
        <v>268</v>
      </c>
      <c r="G61" s="9" t="s">
        <v>71</v>
      </c>
      <c r="H61" s="14">
        <v>1200</v>
      </c>
      <c r="I61" s="9" t="s">
        <v>237</v>
      </c>
      <c r="J61" s="9" t="s">
        <v>259</v>
      </c>
      <c r="K61" s="30" t="s">
        <v>114</v>
      </c>
      <c r="L61" s="9" t="s">
        <v>239</v>
      </c>
      <c r="M61" s="9" t="s">
        <v>324</v>
      </c>
      <c r="N61" s="9" t="s">
        <v>241</v>
      </c>
      <c r="O61" s="9" t="s">
        <v>242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354</v>
      </c>
      <c r="B62" s="9" t="s">
        <v>112</v>
      </c>
      <c r="C62" s="9" t="s">
        <v>233</v>
      </c>
      <c r="D62" s="9" t="s">
        <v>355</v>
      </c>
      <c r="E62" s="9" t="s">
        <v>356</v>
      </c>
      <c r="F62" s="9" t="s">
        <v>357</v>
      </c>
      <c r="G62" s="9" t="s">
        <v>92</v>
      </c>
      <c r="H62" s="14">
        <f>3280</f>
        <v>3280</v>
      </c>
      <c r="I62" s="9" t="s">
        <v>237</v>
      </c>
      <c r="J62" s="9" t="s">
        <v>238</v>
      </c>
      <c r="K62" s="9">
        <v>15</v>
      </c>
      <c r="L62" s="9" t="s">
        <v>239</v>
      </c>
      <c r="M62" s="9" t="s">
        <v>358</v>
      </c>
      <c r="N62" s="9" t="s">
        <v>241</v>
      </c>
      <c r="O62" s="9" t="s">
        <v>207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359</v>
      </c>
      <c r="B63" s="9" t="s">
        <v>112</v>
      </c>
      <c r="C63" s="9" t="s">
        <v>233</v>
      </c>
      <c r="D63" s="9" t="s">
        <v>360</v>
      </c>
      <c r="E63" s="9" t="s">
        <v>361</v>
      </c>
      <c r="F63" s="9" t="s">
        <v>362</v>
      </c>
      <c r="G63" s="9" t="s">
        <v>92</v>
      </c>
      <c r="H63" s="14">
        <v>1862</v>
      </c>
      <c r="I63" s="9" t="s">
        <v>237</v>
      </c>
      <c r="J63" s="9" t="s">
        <v>238</v>
      </c>
      <c r="K63" s="9">
        <v>15</v>
      </c>
      <c r="L63" s="9" t="s">
        <v>239</v>
      </c>
      <c r="M63" s="9" t="s">
        <v>358</v>
      </c>
      <c r="N63" s="9" t="s">
        <v>241</v>
      </c>
      <c r="O63" s="9" t="s">
        <v>207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363</v>
      </c>
      <c r="B64" s="9" t="s">
        <v>112</v>
      </c>
      <c r="C64" s="9" t="s">
        <v>233</v>
      </c>
      <c r="D64" s="9" t="s">
        <v>360</v>
      </c>
      <c r="E64" s="9" t="s">
        <v>364</v>
      </c>
      <c r="F64" s="9" t="s">
        <v>365</v>
      </c>
      <c r="G64" s="9" t="s">
        <v>92</v>
      </c>
      <c r="H64" s="14">
        <v>2136</v>
      </c>
      <c r="I64" s="9" t="s">
        <v>237</v>
      </c>
      <c r="J64" s="9" t="s">
        <v>238</v>
      </c>
      <c r="K64" s="9">
        <v>15</v>
      </c>
      <c r="L64" s="9" t="s">
        <v>239</v>
      </c>
      <c r="M64" s="9" t="s">
        <v>358</v>
      </c>
      <c r="N64" s="9" t="s">
        <v>241</v>
      </c>
      <c r="O64" s="9" t="s">
        <v>207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366</v>
      </c>
      <c r="B65" s="9" t="s">
        <v>112</v>
      </c>
      <c r="C65" s="9" t="s">
        <v>233</v>
      </c>
      <c r="D65" s="9" t="s">
        <v>367</v>
      </c>
      <c r="E65" s="9" t="s">
        <v>368</v>
      </c>
      <c r="F65" s="9" t="s">
        <v>369</v>
      </c>
      <c r="G65" s="9" t="s">
        <v>92</v>
      </c>
      <c r="H65" s="14">
        <f>4608+180+4158</f>
        <v>8946</v>
      </c>
      <c r="I65" s="9" t="s">
        <v>237</v>
      </c>
      <c r="J65" s="9" t="s">
        <v>266</v>
      </c>
      <c r="K65" s="9">
        <v>15</v>
      </c>
      <c r="L65" s="9" t="s">
        <v>239</v>
      </c>
      <c r="M65" s="9" t="s">
        <v>358</v>
      </c>
      <c r="N65" s="9" t="s">
        <v>241</v>
      </c>
      <c r="O65" s="9" t="s">
        <v>207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370</v>
      </c>
      <c r="B66" s="9" t="s">
        <v>116</v>
      </c>
      <c r="C66" s="9" t="s">
        <v>270</v>
      </c>
      <c r="D66" s="9" t="s">
        <v>271</v>
      </c>
      <c r="E66" s="9" t="s">
        <v>170</v>
      </c>
      <c r="F66" s="9" t="s">
        <v>371</v>
      </c>
      <c r="G66" s="9" t="s">
        <v>92</v>
      </c>
      <c r="H66" s="14">
        <v>25000</v>
      </c>
      <c r="I66" s="9" t="s">
        <v>237</v>
      </c>
      <c r="J66" s="9" t="s">
        <v>238</v>
      </c>
      <c r="K66" s="30">
        <v>15</v>
      </c>
      <c r="L66" s="9" t="s">
        <v>239</v>
      </c>
      <c r="M66" s="9" t="s">
        <v>358</v>
      </c>
      <c r="N66" s="9" t="s">
        <v>241</v>
      </c>
      <c r="O66" s="9" t="s">
        <v>207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372</v>
      </c>
      <c r="B67" s="9" t="s">
        <v>112</v>
      </c>
      <c r="C67" s="9" t="s">
        <v>270</v>
      </c>
      <c r="D67" s="9" t="s">
        <v>271</v>
      </c>
      <c r="E67" s="9" t="s">
        <v>177</v>
      </c>
      <c r="F67" s="9" t="s">
        <v>373</v>
      </c>
      <c r="G67" s="9" t="s">
        <v>92</v>
      </c>
      <c r="H67" s="14">
        <v>41000</v>
      </c>
      <c r="I67" s="9" t="s">
        <v>237</v>
      </c>
      <c r="J67" s="9" t="s">
        <v>238</v>
      </c>
      <c r="K67" s="30">
        <v>15</v>
      </c>
      <c r="L67" s="9" t="s">
        <v>239</v>
      </c>
      <c r="M67" s="9" t="s">
        <v>358</v>
      </c>
      <c r="N67" s="9" t="s">
        <v>241</v>
      </c>
      <c r="O67" s="9" t="s">
        <v>207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374</v>
      </c>
      <c r="B68" s="9" t="s">
        <v>118</v>
      </c>
      <c r="C68" s="9" t="s">
        <v>233</v>
      </c>
      <c r="D68" s="9" t="s">
        <v>375</v>
      </c>
      <c r="E68" s="9" t="s">
        <v>376</v>
      </c>
      <c r="F68" s="9" t="s">
        <v>377</v>
      </c>
      <c r="G68" s="9" t="s">
        <v>121</v>
      </c>
      <c r="H68" s="14">
        <v>2377</v>
      </c>
      <c r="I68" s="9" t="s">
        <v>237</v>
      </c>
      <c r="J68" s="9" t="s">
        <v>259</v>
      </c>
      <c r="K68" s="30" t="s">
        <v>114</v>
      </c>
      <c r="L68" s="9" t="s">
        <v>239</v>
      </c>
      <c r="M68" s="9" t="s">
        <v>378</v>
      </c>
      <c r="N68" s="9" t="s">
        <v>241</v>
      </c>
      <c r="O68" s="9" t="s">
        <v>207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379</v>
      </c>
      <c r="B69" s="9" t="s">
        <v>118</v>
      </c>
      <c r="C69" s="9" t="s">
        <v>233</v>
      </c>
      <c r="D69" s="9" t="s">
        <v>380</v>
      </c>
      <c r="E69" s="9" t="s">
        <v>376</v>
      </c>
      <c r="F69" s="9" t="s">
        <v>381</v>
      </c>
      <c r="G69" s="9" t="s">
        <v>121</v>
      </c>
      <c r="H69" s="14">
        <v>220</v>
      </c>
      <c r="I69" s="9" t="s">
        <v>237</v>
      </c>
      <c r="J69" s="9" t="s">
        <v>259</v>
      </c>
      <c r="K69" s="30" t="s">
        <v>114</v>
      </c>
      <c r="L69" s="9" t="s">
        <v>239</v>
      </c>
      <c r="M69" s="9" t="s">
        <v>378</v>
      </c>
      <c r="N69" s="9" t="s">
        <v>241</v>
      </c>
      <c r="O69" s="9" t="s">
        <v>207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382</v>
      </c>
    </row>
    <row r="2" spans="1:20" ht="14.25" customHeight="1" x14ac:dyDescent="0.35">
      <c r="A2" s="18" t="s">
        <v>383</v>
      </c>
    </row>
    <row r="4" spans="1:20" ht="31.5" customHeight="1" x14ac:dyDescent="0.35">
      <c r="A4" s="8" t="s">
        <v>384</v>
      </c>
      <c r="B4" s="8" t="s">
        <v>385</v>
      </c>
      <c r="C4" s="8" t="s">
        <v>218</v>
      </c>
      <c r="D4" s="8" t="s">
        <v>386</v>
      </c>
      <c r="E4" s="8" t="s">
        <v>387</v>
      </c>
      <c r="F4" s="8" t="s">
        <v>53</v>
      </c>
      <c r="G4" s="8" t="s">
        <v>388</v>
      </c>
      <c r="H4" s="8" t="s">
        <v>389</v>
      </c>
      <c r="I4" s="8" t="s">
        <v>390</v>
      </c>
      <c r="J4" s="8" t="s">
        <v>131</v>
      </c>
      <c r="K4" s="8" t="s">
        <v>391</v>
      </c>
      <c r="L4" s="8" t="s">
        <v>392</v>
      </c>
      <c r="M4" s="8" t="s">
        <v>393</v>
      </c>
      <c r="N4" s="8" t="s">
        <v>394</v>
      </c>
      <c r="O4" s="8" t="s">
        <v>395</v>
      </c>
      <c r="P4" s="8" t="s">
        <v>396</v>
      </c>
      <c r="Q4" s="8" t="s">
        <v>397</v>
      </c>
      <c r="R4" s="8" t="s">
        <v>398</v>
      </c>
      <c r="S4" s="8" t="s">
        <v>62</v>
      </c>
      <c r="T4" s="8" t="s">
        <v>63</v>
      </c>
    </row>
    <row r="5" spans="1:20" ht="25.5" customHeight="1" x14ac:dyDescent="0.35">
      <c r="A5" s="19" t="s">
        <v>399</v>
      </c>
      <c r="B5" s="19" t="s">
        <v>293</v>
      </c>
      <c r="C5" s="19" t="s">
        <v>292</v>
      </c>
      <c r="D5" s="19" t="s">
        <v>400</v>
      </c>
      <c r="E5" s="19" t="s">
        <v>68</v>
      </c>
      <c r="F5" s="19" t="s">
        <v>401</v>
      </c>
      <c r="G5" s="19" t="s">
        <v>402</v>
      </c>
      <c r="H5" s="19" t="s">
        <v>403</v>
      </c>
      <c r="I5" s="19" t="s">
        <v>404</v>
      </c>
      <c r="J5" s="19" t="s">
        <v>71</v>
      </c>
      <c r="K5" s="19" t="s">
        <v>405</v>
      </c>
      <c r="L5" s="19" t="s">
        <v>406</v>
      </c>
      <c r="M5" s="19" t="s">
        <v>407</v>
      </c>
      <c r="N5" s="19" t="s">
        <v>408</v>
      </c>
      <c r="O5" s="19" t="s">
        <v>409</v>
      </c>
      <c r="P5" s="20">
        <f t="shared" ref="P5:P45" ca="1" si="0">IFERROR(IF(M5="","",TODAY()-M5),"")</f>
        <v>193</v>
      </c>
      <c r="Q5" s="19" t="s">
        <v>410</v>
      </c>
      <c r="R5" s="19" t="s">
        <v>114</v>
      </c>
      <c r="S5" s="19" t="s">
        <v>77</v>
      </c>
      <c r="T5" s="19" t="s">
        <v>411</v>
      </c>
    </row>
    <row r="6" spans="1:20" ht="15.75" customHeight="1" x14ac:dyDescent="0.3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3"/>
      <c r="N6" s="9"/>
      <c r="O6" s="9"/>
      <c r="P6" s="15" t="str">
        <f t="shared" ca="1" si="0"/>
        <v/>
      </c>
      <c r="Q6" s="9"/>
      <c r="R6" s="13"/>
      <c r="S6" s="9"/>
      <c r="T6" s="9"/>
    </row>
    <row r="7" spans="1:20" ht="15.75" customHeight="1" x14ac:dyDescent="0.3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3"/>
      <c r="N7" s="9"/>
      <c r="O7" s="9"/>
      <c r="P7" s="15" t="str">
        <f t="shared" ca="1" si="0"/>
        <v/>
      </c>
      <c r="Q7" s="9"/>
      <c r="R7" s="13"/>
      <c r="S7" s="9"/>
      <c r="T7" s="9"/>
    </row>
    <row r="8" spans="1:20" ht="15.75" customHeight="1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3"/>
      <c r="N8" s="9"/>
      <c r="O8" s="9"/>
      <c r="P8" s="15" t="str">
        <f t="shared" ca="1" si="0"/>
        <v/>
      </c>
      <c r="Q8" s="9"/>
      <c r="R8" s="13"/>
      <c r="S8" s="9"/>
      <c r="T8" s="9"/>
    </row>
    <row r="9" spans="1:20" ht="15.75" customHeight="1" x14ac:dyDescent="0.3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3"/>
      <c r="N9" s="9"/>
      <c r="O9" s="9"/>
      <c r="P9" s="15" t="str">
        <f t="shared" ca="1" si="0"/>
        <v/>
      </c>
      <c r="Q9" s="9"/>
      <c r="R9" s="13"/>
      <c r="S9" s="9"/>
      <c r="T9" s="9"/>
    </row>
    <row r="10" spans="1:20" ht="15.75" customHeight="1" x14ac:dyDescent="0.3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13"/>
      <c r="N10" s="9"/>
      <c r="O10" s="9"/>
      <c r="P10" s="15" t="str">
        <f t="shared" ca="1" si="0"/>
        <v/>
      </c>
      <c r="Q10" s="9"/>
      <c r="R10" s="13"/>
      <c r="S10" s="9"/>
      <c r="T10" s="9"/>
    </row>
    <row r="11" spans="1:20" ht="15.75" customHeight="1" x14ac:dyDescent="0.3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13"/>
      <c r="N11" s="9"/>
      <c r="O11" s="9"/>
      <c r="P11" s="15" t="str">
        <f t="shared" ca="1" si="0"/>
        <v/>
      </c>
      <c r="Q11" s="9"/>
      <c r="R11" s="13"/>
      <c r="S11" s="9"/>
      <c r="T11" s="9"/>
    </row>
    <row r="12" spans="1:20" ht="15.75" customHeight="1" x14ac:dyDescent="0.3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13"/>
      <c r="N12" s="9"/>
      <c r="O12" s="9"/>
      <c r="P12" s="15" t="str">
        <f t="shared" ca="1" si="0"/>
        <v/>
      </c>
      <c r="Q12" s="9"/>
      <c r="R12" s="13"/>
      <c r="S12" s="9"/>
      <c r="T12" s="9"/>
    </row>
    <row r="13" spans="1:20" ht="15.75" customHeight="1" x14ac:dyDescent="0.3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13"/>
      <c r="N13" s="9"/>
      <c r="O13" s="9"/>
      <c r="P13" s="15" t="str">
        <f t="shared" ca="1" si="0"/>
        <v/>
      </c>
      <c r="Q13" s="9"/>
      <c r="R13" s="13"/>
      <c r="S13" s="9"/>
      <c r="T13" s="9"/>
    </row>
    <row r="14" spans="1:20" ht="15.75" customHeight="1" x14ac:dyDescent="0.3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13"/>
      <c r="N14" s="9"/>
      <c r="O14" s="9"/>
      <c r="P14" s="15" t="str">
        <f t="shared" ca="1" si="0"/>
        <v/>
      </c>
      <c r="Q14" s="9"/>
      <c r="R14" s="13"/>
      <c r="S14" s="9"/>
      <c r="T14" s="9"/>
    </row>
    <row r="15" spans="1:20" ht="15.75" customHeight="1" x14ac:dyDescent="0.3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13"/>
      <c r="N15" s="9"/>
      <c r="O15" s="9"/>
      <c r="P15" s="15" t="str">
        <f t="shared" ca="1" si="0"/>
        <v/>
      </c>
      <c r="Q15" s="9"/>
      <c r="R15" s="13"/>
      <c r="S15" s="9"/>
      <c r="T15" s="9"/>
    </row>
    <row r="16" spans="1:20" ht="15.75" customHeight="1" x14ac:dyDescent="0.3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13"/>
      <c r="N16" s="9"/>
      <c r="O16" s="9"/>
      <c r="P16" s="15" t="str">
        <f t="shared" ca="1" si="0"/>
        <v/>
      </c>
      <c r="Q16" s="9"/>
      <c r="R16" s="13"/>
      <c r="S16" s="9"/>
      <c r="T16" s="9"/>
    </row>
    <row r="17" spans="1:20" ht="15.75" customHeight="1" x14ac:dyDescent="0.3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13"/>
      <c r="N17" s="9"/>
      <c r="O17" s="9"/>
      <c r="P17" s="15" t="str">
        <f t="shared" ca="1" si="0"/>
        <v/>
      </c>
      <c r="Q17" s="9"/>
      <c r="R17" s="13"/>
      <c r="S17" s="9"/>
      <c r="T17" s="9"/>
    </row>
    <row r="18" spans="1:20" ht="15.75" customHeight="1" x14ac:dyDescent="0.3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13"/>
      <c r="N18" s="9"/>
      <c r="O18" s="9"/>
      <c r="P18" s="15" t="str">
        <f t="shared" ca="1" si="0"/>
        <v/>
      </c>
      <c r="Q18" s="9"/>
      <c r="R18" s="13"/>
      <c r="S18" s="9"/>
      <c r="T18" s="9"/>
    </row>
    <row r="19" spans="1:20" ht="15.75" customHeight="1" x14ac:dyDescent="0.3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13"/>
      <c r="N19" s="9"/>
      <c r="O19" s="9"/>
      <c r="P19" s="15" t="str">
        <f t="shared" ca="1" si="0"/>
        <v/>
      </c>
      <c r="Q19" s="9"/>
      <c r="R19" s="13"/>
      <c r="S19" s="9"/>
      <c r="T19" s="9"/>
    </row>
    <row r="20" spans="1:20" ht="15.75" customHeight="1" x14ac:dyDescent="0.3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13"/>
      <c r="N20" s="9"/>
      <c r="O20" s="9"/>
      <c r="P20" s="15" t="str">
        <f t="shared" ca="1" si="0"/>
        <v/>
      </c>
      <c r="Q20" s="9"/>
      <c r="R20" s="13"/>
      <c r="S20" s="9"/>
      <c r="T20" s="9"/>
    </row>
    <row r="21" spans="1:20" ht="15.75" customHeight="1" x14ac:dyDescent="0.3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13"/>
      <c r="N21" s="9"/>
      <c r="O21" s="9"/>
      <c r="P21" s="15" t="str">
        <f t="shared" ca="1" si="0"/>
        <v/>
      </c>
      <c r="Q21" s="9"/>
      <c r="R21" s="13"/>
      <c r="S21" s="9"/>
      <c r="T21" s="9"/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 t="str">
        <f t="shared" ca="1" si="0"/>
        <v/>
      </c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 t="str">
        <f t="shared" ca="1" si="0"/>
        <v/>
      </c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 t="str">
        <f t="shared" ca="1" si="0"/>
        <v/>
      </c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 t="str">
        <f t="shared" ca="1" si="0"/>
        <v/>
      </c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 t="str">
        <f t="shared" ca="1" si="0"/>
        <v/>
      </c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 t="str">
        <f t="shared" ca="1" si="0"/>
        <v/>
      </c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 t="str">
        <f t="shared" ca="1" si="0"/>
        <v/>
      </c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 t="str">
        <f t="shared" ca="1" si="0"/>
        <v/>
      </c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 t="str">
        <f t="shared" ca="1" si="0"/>
        <v/>
      </c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 t="str">
        <f t="shared" ca="1" si="0"/>
        <v/>
      </c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 t="str">
        <f t="shared" ca="1" si="0"/>
        <v/>
      </c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 t="str">
        <f t="shared" ca="1" si="0"/>
        <v/>
      </c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 t="str">
        <f t="shared" ca="1" si="0"/>
        <v/>
      </c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 t="str">
        <f t="shared" ca="1" si="0"/>
        <v/>
      </c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 t="str">
        <f t="shared" ca="1" si="0"/>
        <v/>
      </c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 t="str">
        <f t="shared" ca="1" si="0"/>
        <v/>
      </c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 t="str">
        <f t="shared" ca="1" si="0"/>
        <v/>
      </c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 t="str">
        <f t="shared" ca="1" si="0"/>
        <v/>
      </c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 t="str">
        <f t="shared" ca="1" si="0"/>
        <v/>
      </c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 t="str">
        <f t="shared" ca="1" si="0"/>
        <v/>
      </c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 t="str">
        <f t="shared" ca="1" si="0"/>
        <v/>
      </c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 t="str">
        <f t="shared" ca="1" si="0"/>
        <v/>
      </c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 t="str">
        <f t="shared" ca="1" si="0"/>
        <v/>
      </c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 t="str">
        <f t="shared" ca="1" si="0"/>
        <v/>
      </c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412</v>
      </c>
    </row>
    <row r="2" spans="1:18" ht="14.25" customHeight="1" x14ac:dyDescent="0.35">
      <c r="A2" s="18" t="s">
        <v>413</v>
      </c>
    </row>
    <row r="4" spans="1:18" ht="31.5" customHeight="1" x14ac:dyDescent="0.35">
      <c r="A4" s="8" t="s">
        <v>215</v>
      </c>
      <c r="B4" s="8" t="s">
        <v>216</v>
      </c>
      <c r="C4" s="8" t="s">
        <v>52</v>
      </c>
      <c r="D4" s="8" t="s">
        <v>414</v>
      </c>
      <c r="E4" s="8" t="s">
        <v>415</v>
      </c>
      <c r="F4" s="8" t="s">
        <v>223</v>
      </c>
      <c r="G4" s="8" t="s">
        <v>416</v>
      </c>
      <c r="H4" s="8" t="s">
        <v>417</v>
      </c>
      <c r="I4" s="8" t="s">
        <v>418</v>
      </c>
      <c r="J4" s="8" t="s">
        <v>419</v>
      </c>
      <c r="K4" s="8" t="s">
        <v>420</v>
      </c>
      <c r="L4" s="8" t="s">
        <v>421</v>
      </c>
      <c r="M4" s="8" t="s">
        <v>422</v>
      </c>
      <c r="N4" s="8" t="s">
        <v>423</v>
      </c>
      <c r="O4" s="8" t="s">
        <v>424</v>
      </c>
      <c r="P4" s="8" t="s">
        <v>425</v>
      </c>
      <c r="Q4" s="8" t="s">
        <v>426</v>
      </c>
      <c r="R4" s="8" t="s">
        <v>63</v>
      </c>
    </row>
    <row r="5" spans="1:18" ht="15.75" customHeight="1" x14ac:dyDescent="0.35">
      <c r="A5" s="9" t="s">
        <v>427</v>
      </c>
      <c r="B5" s="9" t="s">
        <v>66</v>
      </c>
      <c r="C5" s="9" t="s">
        <v>68</v>
      </c>
      <c r="D5" s="9" t="s">
        <v>428</v>
      </c>
      <c r="E5" s="9" t="s">
        <v>429</v>
      </c>
      <c r="F5" s="9" t="s">
        <v>238</v>
      </c>
      <c r="G5" s="9" t="s">
        <v>238</v>
      </c>
      <c r="H5" s="9" t="s">
        <v>430</v>
      </c>
      <c r="I5" s="13">
        <v>46249</v>
      </c>
      <c r="J5" s="15">
        <f t="shared" ref="J5:J36" ca="1" si="0">IFERROR(IF(I5="","",I5-TODAY()),"")</f>
        <v>19</v>
      </c>
      <c r="K5" s="15" t="str">
        <f t="shared" ref="K5:K10" ca="1" si="1">IFERROR(IF(I5="","",IF(I5-TODAY()&lt;0,"OVERDUE",IF(I5-TODAY()&lt;=14,"DUE NOW",IF(I5-TODAY()&lt;=30,"Prepare","")))),"")</f>
        <v>Prepare</v>
      </c>
      <c r="L5" s="9" t="s">
        <v>207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431</v>
      </c>
      <c r="B6" s="9" t="s">
        <v>66</v>
      </c>
      <c r="C6" s="9" t="s">
        <v>68</v>
      </c>
      <c r="D6" s="9" t="s">
        <v>432</v>
      </c>
      <c r="E6" s="9" t="s">
        <v>433</v>
      </c>
      <c r="F6" s="9" t="s">
        <v>238</v>
      </c>
      <c r="G6" s="9" t="s">
        <v>238</v>
      </c>
      <c r="H6" s="9" t="s">
        <v>430</v>
      </c>
      <c r="I6" s="13">
        <v>46249</v>
      </c>
      <c r="J6" s="15">
        <f t="shared" ca="1" si="0"/>
        <v>19</v>
      </c>
      <c r="K6" s="15" t="str">
        <f t="shared" ca="1" si="1"/>
        <v>Prepare</v>
      </c>
      <c r="L6" s="9" t="s">
        <v>207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434</v>
      </c>
      <c r="B7" s="9" t="s">
        <v>66</v>
      </c>
      <c r="C7" s="9" t="s">
        <v>68</v>
      </c>
      <c r="D7" s="9" t="s">
        <v>252</v>
      </c>
      <c r="E7" s="9" t="s">
        <v>251</v>
      </c>
      <c r="F7" s="9" t="s">
        <v>238</v>
      </c>
      <c r="G7" s="9" t="s">
        <v>238</v>
      </c>
      <c r="H7" s="9" t="s">
        <v>430</v>
      </c>
      <c r="I7" s="13">
        <v>46249</v>
      </c>
      <c r="J7" s="15">
        <f t="shared" ca="1" si="0"/>
        <v>19</v>
      </c>
      <c r="K7" s="15" t="str">
        <f t="shared" ca="1" si="1"/>
        <v>Prepare</v>
      </c>
      <c r="L7" s="9" t="s">
        <v>207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435</v>
      </c>
      <c r="B8" s="9" t="s">
        <v>66</v>
      </c>
      <c r="C8" s="9" t="s">
        <v>68</v>
      </c>
      <c r="D8" s="9" t="s">
        <v>436</v>
      </c>
      <c r="E8" s="9" t="s">
        <v>437</v>
      </c>
      <c r="F8" s="9" t="s">
        <v>259</v>
      </c>
      <c r="G8" s="9" t="s">
        <v>438</v>
      </c>
      <c r="H8" s="17" t="s">
        <v>106</v>
      </c>
      <c r="I8" s="13">
        <v>46234</v>
      </c>
      <c r="J8" s="15">
        <f t="shared" ca="1" si="0"/>
        <v>4</v>
      </c>
      <c r="K8" s="15" t="str">
        <f t="shared" ca="1" si="1"/>
        <v>DUE NOW</v>
      </c>
      <c r="L8" s="9" t="s">
        <v>207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439</v>
      </c>
      <c r="B9" s="9" t="s">
        <v>66</v>
      </c>
      <c r="C9" s="9" t="s">
        <v>68</v>
      </c>
      <c r="D9" s="9" t="s">
        <v>440</v>
      </c>
      <c r="E9" s="9" t="s">
        <v>437</v>
      </c>
      <c r="F9" s="9" t="s">
        <v>259</v>
      </c>
      <c r="G9" s="9" t="s">
        <v>438</v>
      </c>
      <c r="H9" s="17" t="s">
        <v>106</v>
      </c>
      <c r="I9" s="13">
        <v>46234</v>
      </c>
      <c r="J9" s="15">
        <f t="shared" ca="1" si="0"/>
        <v>4</v>
      </c>
      <c r="K9" s="15" t="str">
        <f t="shared" ca="1" si="1"/>
        <v>DUE NOW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441</v>
      </c>
      <c r="B10" s="9" t="s">
        <v>66</v>
      </c>
      <c r="C10" s="9" t="s">
        <v>68</v>
      </c>
      <c r="D10" s="9" t="s">
        <v>442</v>
      </c>
      <c r="E10" s="9" t="s">
        <v>251</v>
      </c>
      <c r="F10" s="9" t="s">
        <v>259</v>
      </c>
      <c r="G10" s="9" t="s">
        <v>438</v>
      </c>
      <c r="H10" s="17" t="s">
        <v>443</v>
      </c>
      <c r="I10" s="13">
        <v>46366</v>
      </c>
      <c r="J10" s="15">
        <f t="shared" ca="1" si="0"/>
        <v>136</v>
      </c>
      <c r="K10" s="15" t="str">
        <f t="shared" ca="1" si="1"/>
        <v/>
      </c>
      <c r="L10" s="9" t="s">
        <v>444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445</v>
      </c>
      <c r="B11" s="9" t="s">
        <v>66</v>
      </c>
      <c r="C11" s="9" t="s">
        <v>68</v>
      </c>
      <c r="D11" s="9" t="s">
        <v>446</v>
      </c>
      <c r="E11" s="9" t="s">
        <v>251</v>
      </c>
      <c r="F11" s="9" t="s">
        <v>259</v>
      </c>
      <c r="G11" s="9" t="s">
        <v>438</v>
      </c>
      <c r="H11" s="17" t="s">
        <v>106</v>
      </c>
      <c r="I11" s="13">
        <v>46599</v>
      </c>
      <c r="J11" s="15">
        <f t="shared" ca="1" si="0"/>
        <v>369</v>
      </c>
      <c r="K11" s="15"/>
      <c r="L11" s="9" t="s">
        <v>242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447</v>
      </c>
      <c r="B12" s="9" t="s">
        <v>66</v>
      </c>
      <c r="C12" s="9" t="s">
        <v>68</v>
      </c>
      <c r="D12" s="9" t="s">
        <v>448</v>
      </c>
      <c r="E12" s="9" t="s">
        <v>251</v>
      </c>
      <c r="F12" s="9" t="s">
        <v>259</v>
      </c>
      <c r="G12" s="9" t="s">
        <v>438</v>
      </c>
      <c r="H12" s="17" t="s">
        <v>449</v>
      </c>
      <c r="I12" s="13">
        <v>46477</v>
      </c>
      <c r="J12" s="15">
        <f t="shared" ca="1" si="0"/>
        <v>247</v>
      </c>
      <c r="K12" s="15"/>
      <c r="L12" s="9" t="s">
        <v>242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450</v>
      </c>
      <c r="B13" s="9" t="s">
        <v>66</v>
      </c>
      <c r="C13" s="9" t="s">
        <v>68</v>
      </c>
      <c r="D13" s="9" t="s">
        <v>451</v>
      </c>
      <c r="E13" s="9" t="s">
        <v>235</v>
      </c>
      <c r="F13" s="9" t="s">
        <v>259</v>
      </c>
      <c r="G13" s="9" t="s">
        <v>438</v>
      </c>
      <c r="H13" s="17" t="s">
        <v>452</v>
      </c>
      <c r="I13" s="13">
        <v>46477</v>
      </c>
      <c r="J13" s="15">
        <f t="shared" ca="1" si="0"/>
        <v>247</v>
      </c>
      <c r="K13" s="15"/>
      <c r="L13" s="9" t="s">
        <v>242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453</v>
      </c>
      <c r="B14" s="9" t="s">
        <v>84</v>
      </c>
      <c r="C14" s="9" t="s">
        <v>68</v>
      </c>
      <c r="D14" s="9" t="s">
        <v>454</v>
      </c>
      <c r="E14" s="9" t="s">
        <v>313</v>
      </c>
      <c r="F14" s="9" t="s">
        <v>259</v>
      </c>
      <c r="G14" s="9" t="s">
        <v>438</v>
      </c>
      <c r="H14" s="17" t="s">
        <v>70</v>
      </c>
      <c r="I14" s="13">
        <v>46387</v>
      </c>
      <c r="J14" s="15">
        <f t="shared" ca="1" si="0"/>
        <v>157</v>
      </c>
      <c r="K14" s="15"/>
      <c r="L14" s="9" t="s">
        <v>207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455</v>
      </c>
      <c r="B15" s="9" t="s">
        <v>84</v>
      </c>
      <c r="C15" s="9" t="s">
        <v>68</v>
      </c>
      <c r="D15" s="9" t="s">
        <v>446</v>
      </c>
      <c r="E15" s="9" t="s">
        <v>251</v>
      </c>
      <c r="F15" s="9" t="s">
        <v>259</v>
      </c>
      <c r="G15" s="9" t="s">
        <v>438</v>
      </c>
      <c r="H15" s="17" t="s">
        <v>106</v>
      </c>
      <c r="I15" s="13">
        <v>46599</v>
      </c>
      <c r="J15" s="15">
        <f t="shared" ca="1" si="0"/>
        <v>369</v>
      </c>
      <c r="K15" s="15"/>
      <c r="L15" s="9" t="s">
        <v>242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456</v>
      </c>
      <c r="B16" s="9" t="s">
        <v>84</v>
      </c>
      <c r="C16" s="9" t="s">
        <v>68</v>
      </c>
      <c r="D16" s="9" t="s">
        <v>448</v>
      </c>
      <c r="E16" s="9" t="s">
        <v>251</v>
      </c>
      <c r="F16" s="9" t="s">
        <v>259</v>
      </c>
      <c r="G16" s="9" t="s">
        <v>438</v>
      </c>
      <c r="H16" s="17" t="s">
        <v>449</v>
      </c>
      <c r="I16" s="13">
        <v>46477</v>
      </c>
      <c r="J16" s="15">
        <f t="shared" ca="1" si="0"/>
        <v>247</v>
      </c>
      <c r="K16" s="15"/>
      <c r="L16" s="9" t="s">
        <v>242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457</v>
      </c>
      <c r="B17" s="9" t="s">
        <v>84</v>
      </c>
      <c r="C17" s="9" t="s">
        <v>68</v>
      </c>
      <c r="D17" s="9" t="s">
        <v>436</v>
      </c>
      <c r="E17" s="9" t="s">
        <v>437</v>
      </c>
      <c r="F17" s="9" t="s">
        <v>259</v>
      </c>
      <c r="G17" s="9" t="s">
        <v>438</v>
      </c>
      <c r="H17" s="17" t="s">
        <v>106</v>
      </c>
      <c r="I17" s="13">
        <v>46234</v>
      </c>
      <c r="J17" s="15">
        <f t="shared" ca="1" si="0"/>
        <v>4</v>
      </c>
      <c r="K17" s="15" t="str">
        <f ca="1">IFERROR(IF(I17="","",IF(I17-TODAY()&lt;0,"OVERDUE",IF(I17-TODAY()&lt;=14,"DUE NOW",IF(I17-TODAY()&lt;=30,"Prepare","")))),"")</f>
        <v>DUE NOW</v>
      </c>
      <c r="L17" s="9" t="s">
        <v>207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458</v>
      </c>
      <c r="B18" s="9" t="s">
        <v>84</v>
      </c>
      <c r="C18" s="9" t="s">
        <v>68</v>
      </c>
      <c r="D18" s="9" t="s">
        <v>440</v>
      </c>
      <c r="E18" s="9" t="s">
        <v>437</v>
      </c>
      <c r="F18" s="9" t="s">
        <v>259</v>
      </c>
      <c r="G18" s="9" t="s">
        <v>438</v>
      </c>
      <c r="H18" s="17" t="s">
        <v>106</v>
      </c>
      <c r="I18" s="13">
        <v>46234</v>
      </c>
      <c r="J18" s="15">
        <f t="shared" ca="1" si="0"/>
        <v>4</v>
      </c>
      <c r="K18" s="15" t="str">
        <f ca="1">IFERROR(IF(I18="","",IF(I18-TODAY()&lt;0,"OVERDUE",IF(I18-TODAY()&lt;=14,"DUE NOW",IF(I18-TODAY()&lt;=30,"Prepare","")))),"")</f>
        <v>DUE NOW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459</v>
      </c>
      <c r="B19" s="9" t="s">
        <v>95</v>
      </c>
      <c r="C19" s="9" t="s">
        <v>68</v>
      </c>
      <c r="D19" s="9" t="s">
        <v>446</v>
      </c>
      <c r="E19" s="9" t="s">
        <v>251</v>
      </c>
      <c r="F19" s="9" t="s">
        <v>259</v>
      </c>
      <c r="G19" s="9" t="s">
        <v>438</v>
      </c>
      <c r="H19" s="17" t="s">
        <v>106</v>
      </c>
      <c r="I19" s="13">
        <v>46599</v>
      </c>
      <c r="J19" s="15">
        <f t="shared" ca="1" si="0"/>
        <v>369</v>
      </c>
      <c r="K19" s="15"/>
      <c r="L19" s="9" t="s">
        <v>242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460</v>
      </c>
      <c r="B20" s="9" t="s">
        <v>95</v>
      </c>
      <c r="C20" s="9" t="s">
        <v>68</v>
      </c>
      <c r="D20" s="9" t="s">
        <v>448</v>
      </c>
      <c r="E20" s="9" t="s">
        <v>251</v>
      </c>
      <c r="F20" s="9" t="s">
        <v>259</v>
      </c>
      <c r="G20" s="9" t="s">
        <v>438</v>
      </c>
      <c r="H20" s="17" t="s">
        <v>449</v>
      </c>
      <c r="I20" s="13">
        <v>46477</v>
      </c>
      <c r="J20" s="15">
        <f t="shared" ca="1" si="0"/>
        <v>247</v>
      </c>
      <c r="K20" s="15"/>
      <c r="L20" s="9" t="s">
        <v>242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461</v>
      </c>
      <c r="B21" s="9" t="s">
        <v>95</v>
      </c>
      <c r="C21" s="9" t="s">
        <v>68</v>
      </c>
      <c r="D21" s="9" t="s">
        <v>436</v>
      </c>
      <c r="E21" s="9" t="s">
        <v>437</v>
      </c>
      <c r="F21" s="9" t="s">
        <v>259</v>
      </c>
      <c r="G21" s="9" t="s">
        <v>438</v>
      </c>
      <c r="H21" s="17" t="s">
        <v>106</v>
      </c>
      <c r="I21" s="13">
        <v>46234</v>
      </c>
      <c r="J21" s="15">
        <f t="shared" ca="1" si="0"/>
        <v>4</v>
      </c>
      <c r="K21" s="15" t="str">
        <f ca="1">IFERROR(IF(I21="","",IF(I21-TODAY()&lt;0,"OVERDUE",IF(I21-TODAY()&lt;=14,"DUE NOW",IF(I21-TODAY()&lt;=30,"Prepare","")))),"")</f>
        <v>DUE NOW</v>
      </c>
      <c r="L21" s="9" t="s">
        <v>207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462</v>
      </c>
      <c r="B22" s="9" t="s">
        <v>95</v>
      </c>
      <c r="C22" s="9" t="s">
        <v>68</v>
      </c>
      <c r="D22" s="9" t="s">
        <v>440</v>
      </c>
      <c r="E22" s="9" t="s">
        <v>437</v>
      </c>
      <c r="F22" s="9" t="s">
        <v>259</v>
      </c>
      <c r="G22" s="9" t="s">
        <v>438</v>
      </c>
      <c r="H22" s="17" t="s">
        <v>106</v>
      </c>
      <c r="I22" s="13">
        <v>46234</v>
      </c>
      <c r="J22" s="15">
        <f t="shared" ca="1" si="0"/>
        <v>4</v>
      </c>
      <c r="K22" s="15" t="str">
        <f ca="1">IFERROR(IF(I22="","",IF(I22-TODAY()&lt;0,"OVERDUE",IF(I22-TODAY()&lt;=14,"DUE NOW",IF(I22-TODAY()&lt;=30,"Prepare","")))),"")</f>
        <v>DUE NOW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463</v>
      </c>
      <c r="B23" s="9" t="s">
        <v>99</v>
      </c>
      <c r="C23" s="9" t="s">
        <v>68</v>
      </c>
      <c r="D23" s="9" t="s">
        <v>446</v>
      </c>
      <c r="E23" s="9" t="s">
        <v>251</v>
      </c>
      <c r="F23" s="9" t="s">
        <v>259</v>
      </c>
      <c r="G23" s="9" t="s">
        <v>438</v>
      </c>
      <c r="H23" s="17" t="s">
        <v>106</v>
      </c>
      <c r="I23" s="13">
        <v>46599</v>
      </c>
      <c r="J23" s="15">
        <f t="shared" ca="1" si="0"/>
        <v>369</v>
      </c>
      <c r="K23" s="15"/>
      <c r="L23" s="9" t="s">
        <v>242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464</v>
      </c>
      <c r="B24" s="9" t="s">
        <v>99</v>
      </c>
      <c r="C24" s="9" t="s">
        <v>68</v>
      </c>
      <c r="D24" s="9" t="s">
        <v>448</v>
      </c>
      <c r="E24" s="9" t="s">
        <v>251</v>
      </c>
      <c r="F24" s="9" t="s">
        <v>259</v>
      </c>
      <c r="G24" s="9" t="s">
        <v>438</v>
      </c>
      <c r="H24" s="17" t="s">
        <v>449</v>
      </c>
      <c r="I24" s="13">
        <v>46477</v>
      </c>
      <c r="J24" s="15">
        <f t="shared" ca="1" si="0"/>
        <v>247</v>
      </c>
      <c r="K24" s="15"/>
      <c r="L24" s="9" t="s">
        <v>242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465</v>
      </c>
      <c r="B25" s="9" t="s">
        <v>99</v>
      </c>
      <c r="C25" s="9" t="s">
        <v>68</v>
      </c>
      <c r="D25" s="9" t="s">
        <v>436</v>
      </c>
      <c r="E25" s="9" t="s">
        <v>437</v>
      </c>
      <c r="F25" s="9" t="s">
        <v>259</v>
      </c>
      <c r="G25" s="9" t="s">
        <v>438</v>
      </c>
      <c r="H25" s="17" t="s">
        <v>106</v>
      </c>
      <c r="I25" s="13">
        <v>46234</v>
      </c>
      <c r="J25" s="15">
        <f t="shared" ca="1" si="0"/>
        <v>4</v>
      </c>
      <c r="K25" s="15" t="str">
        <f ca="1">IFERROR(IF(I25="","",IF(I25-TODAY()&lt;0,"OVERDUE",IF(I25-TODAY()&lt;=14,"DUE NOW",IF(I25-TODAY()&lt;=30,"Prepare","")))),"")</f>
        <v>DUE NOW</v>
      </c>
      <c r="L25" s="9" t="s">
        <v>207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466</v>
      </c>
      <c r="B26" s="9" t="s">
        <v>99</v>
      </c>
      <c r="C26" s="9" t="s">
        <v>68</v>
      </c>
      <c r="D26" s="9" t="s">
        <v>440</v>
      </c>
      <c r="E26" s="9" t="s">
        <v>437</v>
      </c>
      <c r="F26" s="9" t="s">
        <v>259</v>
      </c>
      <c r="G26" s="9" t="s">
        <v>438</v>
      </c>
      <c r="H26" s="17" t="s">
        <v>106</v>
      </c>
      <c r="I26" s="13">
        <v>46234</v>
      </c>
      <c r="J26" s="15">
        <f t="shared" ca="1" si="0"/>
        <v>4</v>
      </c>
      <c r="K26" s="15" t="str">
        <f ca="1">IFERROR(IF(I26="","",IF(I26-TODAY()&lt;0,"OVERDUE",IF(I26-TODAY()&lt;=14,"DUE NOW",IF(I26-TODAY()&lt;=30,"Prepare","")))),"")</f>
        <v>DUE NOW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467</v>
      </c>
      <c r="B27" s="9" t="s">
        <v>80</v>
      </c>
      <c r="C27" s="9" t="s">
        <v>68</v>
      </c>
      <c r="D27" s="9" t="s">
        <v>446</v>
      </c>
      <c r="E27" s="9" t="s">
        <v>251</v>
      </c>
      <c r="F27" s="9" t="s">
        <v>259</v>
      </c>
      <c r="G27" s="9" t="s">
        <v>438</v>
      </c>
      <c r="H27" s="17" t="s">
        <v>106</v>
      </c>
      <c r="I27" s="13">
        <v>46599</v>
      </c>
      <c r="J27" s="15">
        <f t="shared" ca="1" si="0"/>
        <v>369</v>
      </c>
      <c r="K27" s="15"/>
      <c r="L27" s="9" t="s">
        <v>242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468</v>
      </c>
      <c r="B28" s="9" t="s">
        <v>80</v>
      </c>
      <c r="C28" s="9" t="s">
        <v>68</v>
      </c>
      <c r="D28" s="9" t="s">
        <v>448</v>
      </c>
      <c r="E28" s="9" t="s">
        <v>251</v>
      </c>
      <c r="F28" s="9" t="s">
        <v>259</v>
      </c>
      <c r="G28" s="9" t="s">
        <v>438</v>
      </c>
      <c r="H28" s="17" t="s">
        <v>449</v>
      </c>
      <c r="I28" s="13">
        <v>46477</v>
      </c>
      <c r="J28" s="15">
        <f t="shared" ca="1" si="0"/>
        <v>247</v>
      </c>
      <c r="K28" s="15"/>
      <c r="L28" s="9" t="s">
        <v>242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469</v>
      </c>
      <c r="B29" s="9" t="s">
        <v>80</v>
      </c>
      <c r="C29" s="9" t="s">
        <v>68</v>
      </c>
      <c r="D29" s="9" t="s">
        <v>436</v>
      </c>
      <c r="E29" s="9" t="s">
        <v>437</v>
      </c>
      <c r="F29" s="9" t="s">
        <v>259</v>
      </c>
      <c r="G29" s="9" t="s">
        <v>438</v>
      </c>
      <c r="H29" s="17" t="s">
        <v>106</v>
      </c>
      <c r="I29" s="13">
        <v>46234</v>
      </c>
      <c r="J29" s="15">
        <f t="shared" ca="1" si="0"/>
        <v>4</v>
      </c>
      <c r="K29" s="15" t="str">
        <f ca="1">IFERROR(IF(I29="","",IF(I29-TODAY()&lt;0,"OVERDUE",IF(I29-TODAY()&lt;=14,"DUE NOW",IF(I29-TODAY()&lt;=30,"Prepare","")))),"")</f>
        <v>DUE NOW</v>
      </c>
      <c r="L29" s="9" t="s">
        <v>207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470</v>
      </c>
      <c r="B30" s="9" t="s">
        <v>80</v>
      </c>
      <c r="C30" s="9" t="s">
        <v>68</v>
      </c>
      <c r="D30" s="9" t="s">
        <v>440</v>
      </c>
      <c r="E30" s="9" t="s">
        <v>437</v>
      </c>
      <c r="F30" s="9" t="s">
        <v>259</v>
      </c>
      <c r="G30" s="9" t="s">
        <v>438</v>
      </c>
      <c r="H30" s="17" t="s">
        <v>106</v>
      </c>
      <c r="I30" s="13">
        <v>46234</v>
      </c>
      <c r="J30" s="15">
        <f t="shared" ca="1" si="0"/>
        <v>4</v>
      </c>
      <c r="K30" s="15" t="str">
        <f ca="1">IFERROR(IF(I30="","",IF(I30-TODAY()&lt;0,"OVERDUE",IF(I30-TODAY()&lt;=14,"DUE NOW",IF(I30-TODAY()&lt;=30,"Prepare","")))),"")</f>
        <v>DUE NOW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471</v>
      </c>
      <c r="B31" s="9" t="s">
        <v>103</v>
      </c>
      <c r="C31" s="9" t="s">
        <v>68</v>
      </c>
      <c r="D31" s="9" t="s">
        <v>446</v>
      </c>
      <c r="E31" s="9" t="s">
        <v>251</v>
      </c>
      <c r="F31" s="9" t="s">
        <v>259</v>
      </c>
      <c r="G31" s="9" t="s">
        <v>438</v>
      </c>
      <c r="H31" s="17" t="s">
        <v>472</v>
      </c>
      <c r="I31" s="13">
        <v>46446</v>
      </c>
      <c r="J31" s="15">
        <f t="shared" ca="1" si="0"/>
        <v>216</v>
      </c>
      <c r="K31" s="15"/>
      <c r="L31" s="9" t="s">
        <v>242</v>
      </c>
      <c r="M31" s="13"/>
      <c r="N31" s="9"/>
      <c r="O31" s="9"/>
      <c r="P31" s="13"/>
      <c r="Q31" s="9"/>
      <c r="R31" s="9" t="s">
        <v>473</v>
      </c>
    </row>
    <row r="32" spans="1:18" ht="15" customHeight="1" x14ac:dyDescent="0.35">
      <c r="A32" s="9" t="s">
        <v>474</v>
      </c>
      <c r="B32" s="9" t="s">
        <v>103</v>
      </c>
      <c r="C32" s="9" t="s">
        <v>68</v>
      </c>
      <c r="D32" s="9" t="s">
        <v>448</v>
      </c>
      <c r="E32" s="9" t="s">
        <v>251</v>
      </c>
      <c r="F32" s="9" t="s">
        <v>259</v>
      </c>
      <c r="G32" s="9" t="s">
        <v>438</v>
      </c>
      <c r="H32" s="17" t="s">
        <v>449</v>
      </c>
      <c r="I32" s="13">
        <v>46477</v>
      </c>
      <c r="J32" s="15">
        <f t="shared" ca="1" si="0"/>
        <v>247</v>
      </c>
      <c r="K32" s="15"/>
      <c r="L32" s="9" t="s">
        <v>242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475</v>
      </c>
      <c r="B33" s="9" t="s">
        <v>103</v>
      </c>
      <c r="C33" s="9" t="s">
        <v>68</v>
      </c>
      <c r="D33" s="9" t="s">
        <v>436</v>
      </c>
      <c r="E33" s="9" t="s">
        <v>437</v>
      </c>
      <c r="F33" s="9" t="s">
        <v>259</v>
      </c>
      <c r="G33" s="9" t="s">
        <v>438</v>
      </c>
      <c r="H33" s="17" t="s">
        <v>106</v>
      </c>
      <c r="I33" s="13">
        <v>46234</v>
      </c>
      <c r="J33" s="15">
        <f t="shared" ca="1" si="0"/>
        <v>4</v>
      </c>
      <c r="K33" s="15" t="str">
        <f ca="1">IFERROR(IF(I33="","",IF(I33-TODAY()&lt;0,"OVERDUE",IF(I33-TODAY()&lt;=14,"DUE NOW",IF(I33-TODAY()&lt;=30,"Prepare","")))),"")</f>
        <v>DUE NOW</v>
      </c>
      <c r="L33" s="9" t="s">
        <v>207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476</v>
      </c>
      <c r="B34" s="9" t="s">
        <v>103</v>
      </c>
      <c r="C34" s="9" t="s">
        <v>68</v>
      </c>
      <c r="D34" s="9" t="s">
        <v>440</v>
      </c>
      <c r="E34" s="9" t="s">
        <v>437</v>
      </c>
      <c r="F34" s="9" t="s">
        <v>259</v>
      </c>
      <c r="G34" s="9" t="s">
        <v>438</v>
      </c>
      <c r="H34" s="17" t="s">
        <v>106</v>
      </c>
      <c r="I34" s="13">
        <v>46234</v>
      </c>
      <c r="J34" s="15">
        <f t="shared" ca="1" si="0"/>
        <v>4</v>
      </c>
      <c r="K34" s="15" t="str">
        <f ca="1">IFERROR(IF(I34="","",IF(I34-TODAY()&lt;0,"OVERDUE",IF(I34-TODAY()&lt;=14,"DUE NOW",IF(I34-TODAY()&lt;=30,"Prepare","")))),"")</f>
        <v>DUE NOW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477</v>
      </c>
      <c r="B35" s="9" t="s">
        <v>108</v>
      </c>
      <c r="C35" s="9" t="s">
        <v>68</v>
      </c>
      <c r="D35" s="9" t="s">
        <v>446</v>
      </c>
      <c r="E35" s="9" t="s">
        <v>251</v>
      </c>
      <c r="F35" s="9" t="s">
        <v>259</v>
      </c>
      <c r="G35" s="9" t="s">
        <v>438</v>
      </c>
      <c r="H35" s="17" t="s">
        <v>472</v>
      </c>
      <c r="I35" s="13">
        <v>46446</v>
      </c>
      <c r="J35" s="15">
        <f t="shared" ca="1" si="0"/>
        <v>216</v>
      </c>
      <c r="K35" s="15"/>
      <c r="L35" s="9" t="s">
        <v>242</v>
      </c>
      <c r="M35" s="13"/>
      <c r="N35" s="9"/>
      <c r="O35" s="9"/>
      <c r="P35" s="13"/>
      <c r="Q35" s="9"/>
      <c r="R35" s="9" t="s">
        <v>473</v>
      </c>
    </row>
    <row r="36" spans="1:18" ht="15" customHeight="1" x14ac:dyDescent="0.35">
      <c r="A36" s="9" t="s">
        <v>478</v>
      </c>
      <c r="B36" s="9" t="s">
        <v>108</v>
      </c>
      <c r="C36" s="9" t="s">
        <v>68</v>
      </c>
      <c r="D36" s="9" t="s">
        <v>448</v>
      </c>
      <c r="E36" s="9" t="s">
        <v>251</v>
      </c>
      <c r="F36" s="9" t="s">
        <v>259</v>
      </c>
      <c r="G36" s="9" t="s">
        <v>438</v>
      </c>
      <c r="H36" s="17" t="s">
        <v>449</v>
      </c>
      <c r="I36" s="13">
        <v>46477</v>
      </c>
      <c r="J36" s="15">
        <f t="shared" ca="1" si="0"/>
        <v>247</v>
      </c>
      <c r="K36" s="15"/>
      <c r="L36" s="9" t="s">
        <v>242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479</v>
      </c>
      <c r="B37" s="9" t="s">
        <v>108</v>
      </c>
      <c r="C37" s="9" t="s">
        <v>68</v>
      </c>
      <c r="D37" s="9" t="s">
        <v>436</v>
      </c>
      <c r="E37" s="9" t="s">
        <v>437</v>
      </c>
      <c r="F37" s="9" t="s">
        <v>259</v>
      </c>
      <c r="G37" s="9" t="s">
        <v>438</v>
      </c>
      <c r="H37" s="17" t="s">
        <v>106</v>
      </c>
      <c r="I37" s="13">
        <v>46234</v>
      </c>
      <c r="J37" s="15">
        <f t="shared" ref="J37:J65" ca="1" si="2">IFERROR(IF(I37="","",I37-TODAY()),"")</f>
        <v>4</v>
      </c>
      <c r="K37" s="15" t="str">
        <f t="shared" ref="K37:K43" ca="1" si="3">IFERROR(IF(I37="","",IF(I37-TODAY()&lt;0,"OVERDUE",IF(I37-TODAY()&lt;=14,"DUE NOW",IF(I37-TODAY()&lt;=30,"Prepare","")))),"")</f>
        <v>DUE NOW</v>
      </c>
      <c r="L37" s="9" t="s">
        <v>207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480</v>
      </c>
      <c r="B38" s="9" t="s">
        <v>108</v>
      </c>
      <c r="C38" s="9" t="s">
        <v>68</v>
      </c>
      <c r="D38" s="9" t="s">
        <v>440</v>
      </c>
      <c r="E38" s="9" t="s">
        <v>437</v>
      </c>
      <c r="F38" s="9" t="s">
        <v>259</v>
      </c>
      <c r="G38" s="9" t="s">
        <v>438</v>
      </c>
      <c r="H38" s="17" t="s">
        <v>106</v>
      </c>
      <c r="I38" s="13">
        <v>46234</v>
      </c>
      <c r="J38" s="15">
        <f t="shared" ca="1" si="2"/>
        <v>4</v>
      </c>
      <c r="K38" s="15" t="str">
        <f t="shared" ca="1" si="3"/>
        <v>DUE NOW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481</v>
      </c>
      <c r="B39" s="9" t="s">
        <v>88</v>
      </c>
      <c r="C39" s="9" t="s">
        <v>90</v>
      </c>
      <c r="D39" s="9" t="s">
        <v>482</v>
      </c>
      <c r="E39" s="9" t="s">
        <v>483</v>
      </c>
      <c r="F39" s="9" t="s">
        <v>259</v>
      </c>
      <c r="G39" s="9" t="s">
        <v>438</v>
      </c>
      <c r="H39" s="17" t="s">
        <v>484</v>
      </c>
      <c r="I39" s="13">
        <v>46265</v>
      </c>
      <c r="J39" s="15">
        <f t="shared" ca="1" si="2"/>
        <v>35</v>
      </c>
      <c r="K39" s="15" t="str">
        <f t="shared" ca="1" si="3"/>
        <v/>
      </c>
      <c r="L39" s="9" t="s">
        <v>207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485</v>
      </c>
      <c r="B40" s="9" t="s">
        <v>88</v>
      </c>
      <c r="C40" s="9" t="s">
        <v>90</v>
      </c>
      <c r="D40" s="9" t="s">
        <v>486</v>
      </c>
      <c r="E40" s="9" t="s">
        <v>487</v>
      </c>
      <c r="F40" s="9" t="s">
        <v>259</v>
      </c>
      <c r="G40" s="9" t="s">
        <v>438</v>
      </c>
      <c r="H40" s="17" t="s">
        <v>488</v>
      </c>
      <c r="I40" s="13">
        <v>46536</v>
      </c>
      <c r="J40" s="15">
        <f t="shared" ca="1" si="2"/>
        <v>306</v>
      </c>
      <c r="K40" s="15" t="str">
        <f t="shared" ca="1" si="3"/>
        <v/>
      </c>
      <c r="L40" s="9" t="s">
        <v>207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489</v>
      </c>
      <c r="B41" s="9" t="s">
        <v>88</v>
      </c>
      <c r="C41" s="9" t="s">
        <v>90</v>
      </c>
      <c r="D41" s="9" t="s">
        <v>454</v>
      </c>
      <c r="E41" s="9" t="s">
        <v>483</v>
      </c>
      <c r="F41" s="9" t="s">
        <v>259</v>
      </c>
      <c r="G41" s="9" t="s">
        <v>438</v>
      </c>
      <c r="H41" s="17" t="s">
        <v>490</v>
      </c>
      <c r="I41" s="13">
        <v>46356</v>
      </c>
      <c r="J41" s="15">
        <f t="shared" ca="1" si="2"/>
        <v>126</v>
      </c>
      <c r="K41" s="15" t="str">
        <f t="shared" ca="1" si="3"/>
        <v/>
      </c>
      <c r="L41" s="9" t="s">
        <v>207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491</v>
      </c>
      <c r="B42" s="9" t="s">
        <v>88</v>
      </c>
      <c r="C42" s="9" t="s">
        <v>90</v>
      </c>
      <c r="D42" s="9" t="s">
        <v>440</v>
      </c>
      <c r="E42" s="9" t="s">
        <v>483</v>
      </c>
      <c r="F42" s="9" t="s">
        <v>259</v>
      </c>
      <c r="G42" s="9" t="s">
        <v>438</v>
      </c>
      <c r="H42" s="17" t="s">
        <v>106</v>
      </c>
      <c r="I42" s="13">
        <v>46234</v>
      </c>
      <c r="J42" s="15">
        <f t="shared" ca="1" si="2"/>
        <v>4</v>
      </c>
      <c r="K42" s="15" t="str">
        <f t="shared" ca="1" si="3"/>
        <v>DUE NOW</v>
      </c>
      <c r="L42" s="9" t="s">
        <v>207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492</v>
      </c>
      <c r="B43" s="9" t="s">
        <v>88</v>
      </c>
      <c r="C43" s="9" t="s">
        <v>68</v>
      </c>
      <c r="D43" s="9" t="s">
        <v>442</v>
      </c>
      <c r="E43" s="9" t="s">
        <v>251</v>
      </c>
      <c r="F43" s="9" t="s">
        <v>259</v>
      </c>
      <c r="G43" s="9" t="s">
        <v>438</v>
      </c>
      <c r="H43" s="17" t="s">
        <v>443</v>
      </c>
      <c r="I43" s="13">
        <v>46366</v>
      </c>
      <c r="J43" s="15">
        <f t="shared" ca="1" si="2"/>
        <v>136</v>
      </c>
      <c r="K43" s="15" t="str">
        <f t="shared" ca="1" si="3"/>
        <v/>
      </c>
      <c r="L43" s="9" t="s">
        <v>207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493</v>
      </c>
      <c r="B44" s="9" t="s">
        <v>88</v>
      </c>
      <c r="C44" s="9" t="s">
        <v>68</v>
      </c>
      <c r="D44" s="9" t="s">
        <v>446</v>
      </c>
      <c r="E44" s="9" t="s">
        <v>251</v>
      </c>
      <c r="F44" s="9" t="s">
        <v>259</v>
      </c>
      <c r="G44" s="9" t="s">
        <v>438</v>
      </c>
      <c r="H44" s="17" t="s">
        <v>106</v>
      </c>
      <c r="I44" s="13">
        <v>46599</v>
      </c>
      <c r="J44" s="15">
        <f t="shared" ca="1" si="2"/>
        <v>369</v>
      </c>
      <c r="K44" s="15"/>
      <c r="L44" s="9" t="s">
        <v>207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494</v>
      </c>
      <c r="B45" s="9" t="s">
        <v>88</v>
      </c>
      <c r="C45" s="9" t="s">
        <v>68</v>
      </c>
      <c r="D45" s="9" t="s">
        <v>448</v>
      </c>
      <c r="E45" s="9" t="s">
        <v>251</v>
      </c>
      <c r="F45" s="9" t="s">
        <v>259</v>
      </c>
      <c r="G45" s="9" t="s">
        <v>438</v>
      </c>
      <c r="H45" s="17" t="s">
        <v>449</v>
      </c>
      <c r="I45" s="13">
        <v>46477</v>
      </c>
      <c r="J45" s="15">
        <f t="shared" ca="1" si="2"/>
        <v>247</v>
      </c>
      <c r="K45" s="15"/>
      <c r="L45" s="9" t="s">
        <v>207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495</v>
      </c>
      <c r="B46" s="9" t="s">
        <v>88</v>
      </c>
      <c r="C46" s="9" t="s">
        <v>68</v>
      </c>
      <c r="D46" s="9" t="s">
        <v>451</v>
      </c>
      <c r="E46" s="9" t="s">
        <v>235</v>
      </c>
      <c r="F46" s="9" t="s">
        <v>259</v>
      </c>
      <c r="G46" s="9" t="s">
        <v>438</v>
      </c>
      <c r="H46" s="17" t="s">
        <v>452</v>
      </c>
      <c r="I46" s="13">
        <v>46477</v>
      </c>
      <c r="J46" s="15">
        <f t="shared" ca="1" si="2"/>
        <v>247</v>
      </c>
      <c r="K46" s="15"/>
      <c r="L46" s="9" t="s">
        <v>242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496</v>
      </c>
      <c r="B47" s="9" t="s">
        <v>118</v>
      </c>
      <c r="C47" s="9" t="s">
        <v>120</v>
      </c>
      <c r="D47" s="9" t="s">
        <v>497</v>
      </c>
      <c r="E47" s="9" t="s">
        <v>120</v>
      </c>
      <c r="F47" s="9" t="s">
        <v>259</v>
      </c>
      <c r="G47" s="9" t="s">
        <v>438</v>
      </c>
      <c r="H47" s="17" t="s">
        <v>498</v>
      </c>
      <c r="I47" s="13">
        <v>46295</v>
      </c>
      <c r="J47" s="15">
        <f t="shared" ca="1" si="2"/>
        <v>65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207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499</v>
      </c>
      <c r="B48" s="9" t="s">
        <v>118</v>
      </c>
      <c r="C48" s="9" t="s">
        <v>120</v>
      </c>
      <c r="D48" s="9" t="s">
        <v>500</v>
      </c>
      <c r="E48" s="9" t="s">
        <v>120</v>
      </c>
      <c r="F48" s="9" t="s">
        <v>259</v>
      </c>
      <c r="G48" s="9" t="s">
        <v>438</v>
      </c>
      <c r="H48" s="17" t="s">
        <v>484</v>
      </c>
      <c r="I48" s="13">
        <v>46265</v>
      </c>
      <c r="J48" s="15">
        <f t="shared" ca="1" si="2"/>
        <v>35</v>
      </c>
      <c r="K48" s="15" t="str">
        <f t="shared" ca="1" si="4"/>
        <v/>
      </c>
      <c r="L48" s="9" t="s">
        <v>207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501</v>
      </c>
    </row>
    <row r="4" spans="1:3" ht="14.25" customHeight="1" x14ac:dyDescent="0.35">
      <c r="B4" s="4" t="s">
        <v>502</v>
      </c>
    </row>
    <row r="5" spans="1:3" ht="15.75" customHeight="1" x14ac:dyDescent="0.4">
      <c r="B5" s="34" t="s">
        <v>503</v>
      </c>
      <c r="C5" s="34"/>
    </row>
    <row r="7" spans="1:3" ht="14.25" customHeight="1" x14ac:dyDescent="0.35">
      <c r="B7" s="4" t="s">
        <v>504</v>
      </c>
    </row>
    <row r="8" spans="1:3" ht="31.5" customHeight="1" x14ac:dyDescent="0.35">
      <c r="A8" s="21" t="s">
        <v>505</v>
      </c>
      <c r="B8" s="8" t="s">
        <v>506</v>
      </c>
      <c r="C8" s="8"/>
    </row>
    <row r="9" spans="1:3" ht="42" customHeight="1" x14ac:dyDescent="0.35">
      <c r="B9" s="22" t="s">
        <v>507</v>
      </c>
      <c r="C9" s="21" t="s">
        <v>508</v>
      </c>
    </row>
    <row r="10" spans="1:3" ht="42" customHeight="1" x14ac:dyDescent="0.35">
      <c r="B10" s="22" t="s">
        <v>509</v>
      </c>
      <c r="C10" s="21" t="s">
        <v>510</v>
      </c>
    </row>
    <row r="11" spans="1:3" ht="42" customHeight="1" x14ac:dyDescent="0.35">
      <c r="B11" s="22" t="s">
        <v>511</v>
      </c>
      <c r="C11" s="21" t="s">
        <v>512</v>
      </c>
    </row>
    <row r="12" spans="1:3" ht="42" customHeight="1" x14ac:dyDescent="0.35">
      <c r="B12" s="22" t="s">
        <v>513</v>
      </c>
      <c r="C12" s="21" t="s">
        <v>514</v>
      </c>
    </row>
    <row r="13" spans="1:3" ht="42" customHeight="1" x14ac:dyDescent="0.35">
      <c r="B13" s="22" t="s">
        <v>515</v>
      </c>
      <c r="C13" s="21" t="s">
        <v>516</v>
      </c>
    </row>
    <row r="14" spans="1:3" ht="42" customHeight="1" x14ac:dyDescent="0.35">
      <c r="B14" s="22" t="s">
        <v>517</v>
      </c>
      <c r="C14" s="21" t="s">
        <v>518</v>
      </c>
    </row>
    <row r="16" spans="1:3" ht="14.25" customHeight="1" x14ac:dyDescent="0.35">
      <c r="B16" s="4" t="s">
        <v>519</v>
      </c>
    </row>
    <row r="17" spans="2:3" ht="31.5" customHeight="1" x14ac:dyDescent="0.35">
      <c r="B17" s="8" t="s">
        <v>520</v>
      </c>
      <c r="C17" s="8" t="s">
        <v>521</v>
      </c>
    </row>
    <row r="18" spans="2:3" ht="36" customHeight="1" x14ac:dyDescent="0.35">
      <c r="B18" s="23" t="s">
        <v>522</v>
      </c>
      <c r="C18" s="21" t="s">
        <v>523</v>
      </c>
    </row>
    <row r="19" spans="2:3" ht="36" customHeight="1" x14ac:dyDescent="0.35">
      <c r="B19" s="23" t="s">
        <v>524</v>
      </c>
      <c r="C19" s="21" t="s">
        <v>525</v>
      </c>
    </row>
    <row r="20" spans="2:3" ht="36" customHeight="1" x14ac:dyDescent="0.35">
      <c r="B20" s="23" t="s">
        <v>526</v>
      </c>
      <c r="C20" s="21" t="s">
        <v>527</v>
      </c>
    </row>
    <row r="21" spans="2:3" ht="36" customHeight="1" x14ac:dyDescent="0.35">
      <c r="B21" s="23" t="s">
        <v>528</v>
      </c>
      <c r="C21" s="21" t="s">
        <v>529</v>
      </c>
    </row>
    <row r="22" spans="2:3" ht="36" customHeight="1" x14ac:dyDescent="0.35">
      <c r="B22" s="23" t="s">
        <v>530</v>
      </c>
      <c r="C22" s="21" t="s">
        <v>531</v>
      </c>
    </row>
    <row r="23" spans="2:3" ht="36" customHeight="1" x14ac:dyDescent="0.35">
      <c r="B23" s="23" t="s">
        <v>532</v>
      </c>
      <c r="C23" s="21" t="s">
        <v>533</v>
      </c>
    </row>
    <row r="24" spans="2:3" ht="36" customHeight="1" x14ac:dyDescent="0.35">
      <c r="B24" s="23" t="s">
        <v>534</v>
      </c>
      <c r="C24" s="21" t="s">
        <v>535</v>
      </c>
    </row>
    <row r="25" spans="2:3" ht="36" customHeight="1" x14ac:dyDescent="0.35">
      <c r="B25" s="23" t="s">
        <v>536</v>
      </c>
      <c r="C25" s="21" t="s">
        <v>537</v>
      </c>
    </row>
    <row r="27" spans="2:3" ht="14.25" customHeight="1" x14ac:dyDescent="0.35">
      <c r="B27" s="4" t="s">
        <v>538</v>
      </c>
    </row>
    <row r="28" spans="2:3" ht="14.25" customHeight="1" x14ac:dyDescent="0.35">
      <c r="B28" s="32" t="s">
        <v>539</v>
      </c>
      <c r="C28" s="32"/>
    </row>
    <row r="29" spans="2:3" ht="14.25" customHeight="1" x14ac:dyDescent="0.35">
      <c r="B29" s="32" t="s">
        <v>540</v>
      </c>
      <c r="C29" s="32"/>
    </row>
    <row r="30" spans="2:3" ht="14.25" customHeight="1" x14ac:dyDescent="0.35">
      <c r="B30" s="32" t="s">
        <v>541</v>
      </c>
      <c r="C30" s="32"/>
    </row>
    <row r="31" spans="2:3" ht="14.25" customHeight="1" x14ac:dyDescent="0.35">
      <c r="B31" s="32" t="s">
        <v>542</v>
      </c>
      <c r="C31" s="32"/>
    </row>
    <row r="32" spans="2:3" ht="14.25" customHeight="1" x14ac:dyDescent="0.35">
      <c r="B32" s="32" t="s">
        <v>543</v>
      </c>
      <c r="C32" s="32"/>
    </row>
    <row r="33" spans="2:3" ht="14.25" customHeight="1" x14ac:dyDescent="0.35">
      <c r="B33" s="32" t="s">
        <v>544</v>
      </c>
      <c r="C33" s="32"/>
    </row>
    <row r="34" spans="2:3" ht="14.25" customHeight="1" x14ac:dyDescent="0.35">
      <c r="B34" s="32" t="s">
        <v>545</v>
      </c>
      <c r="C34" s="32"/>
    </row>
    <row r="36" spans="2:3" ht="14.25" customHeight="1" x14ac:dyDescent="0.35">
      <c r="B36" s="4" t="s">
        <v>546</v>
      </c>
    </row>
    <row r="37" spans="2:3" ht="14.25" customHeight="1" x14ac:dyDescent="0.35">
      <c r="B37" s="33" t="s">
        <v>547</v>
      </c>
      <c r="C37" s="33"/>
    </row>
    <row r="38" spans="2:3" ht="14.25" customHeight="1" x14ac:dyDescent="0.35">
      <c r="B38" s="33" t="s">
        <v>548</v>
      </c>
      <c r="C38" s="33"/>
    </row>
    <row r="39" spans="2:3" ht="14.25" customHeight="1" x14ac:dyDescent="0.35">
      <c r="B39" s="33" t="s">
        <v>549</v>
      </c>
      <c r="C39" s="33"/>
    </row>
    <row r="40" spans="2:3" ht="14.25" customHeight="1" x14ac:dyDescent="0.35">
      <c r="B40" s="33" t="s">
        <v>550</v>
      </c>
      <c r="C40" s="33"/>
    </row>
    <row r="41" spans="2:3" ht="14.25" customHeight="1" x14ac:dyDescent="0.35">
      <c r="B41" s="33" t="s">
        <v>551</v>
      </c>
      <c r="C41" s="33"/>
    </row>
    <row r="42" spans="2:3" ht="14.25" customHeight="1" x14ac:dyDescent="0.35">
      <c r="B42" s="33" t="s">
        <v>552</v>
      </c>
      <c r="C42" s="33"/>
    </row>
    <row r="43" spans="2:3" ht="14.25" customHeight="1" x14ac:dyDescent="0.35">
      <c r="B43" s="33" t="s">
        <v>553</v>
      </c>
      <c r="C43" s="33"/>
    </row>
    <row r="44" spans="2:3" ht="14.25" customHeight="1" x14ac:dyDescent="0.35">
      <c r="B44" s="33" t="s">
        <v>554</v>
      </c>
      <c r="C44" s="33"/>
    </row>
    <row r="45" spans="2:3" ht="14.25" customHeight="1" x14ac:dyDescent="0.35">
      <c r="B45" s="33" t="s">
        <v>555</v>
      </c>
      <c r="C45" s="33"/>
    </row>
    <row r="46" spans="2:3" ht="14.25" customHeight="1" x14ac:dyDescent="0.35">
      <c r="B46" s="33" t="s">
        <v>556</v>
      </c>
      <c r="C46" s="33"/>
    </row>
    <row r="47" spans="2:3" ht="14.25" customHeight="1" x14ac:dyDescent="0.35">
      <c r="B47" s="33" t="s">
        <v>557</v>
      </c>
      <c r="C47" s="33"/>
    </row>
    <row r="48" spans="2:3" ht="14.25" customHeight="1" x14ac:dyDescent="0.35">
      <c r="B48" s="33" t="s">
        <v>558</v>
      </c>
      <c r="C48" s="33"/>
    </row>
    <row r="49" spans="2:3" ht="14.25" customHeight="1" x14ac:dyDescent="0.35">
      <c r="B49" s="33" t="s">
        <v>559</v>
      </c>
      <c r="C49" s="33"/>
    </row>
    <row r="50" spans="2:3" ht="14.25" customHeight="1" x14ac:dyDescent="0.35">
      <c r="B50" s="33" t="s">
        <v>560</v>
      </c>
      <c r="C50" s="33"/>
    </row>
    <row r="51" spans="2:3" ht="14.25" customHeight="1" x14ac:dyDescent="0.35">
      <c r="B51" s="33" t="s">
        <v>561</v>
      </c>
      <c r="C51" s="33"/>
    </row>
    <row r="52" spans="2:3" ht="14.25" customHeight="1" x14ac:dyDescent="0.35">
      <c r="B52" s="33" t="s">
        <v>562</v>
      </c>
      <c r="C52" s="33"/>
    </row>
    <row r="53" spans="2:3" ht="14.25" customHeight="1" x14ac:dyDescent="0.35">
      <c r="B53" s="33" t="s">
        <v>563</v>
      </c>
      <c r="C53" s="33"/>
    </row>
    <row r="54" spans="2:3" ht="14.25" customHeight="1" x14ac:dyDescent="0.35">
      <c r="B54" s="33" t="s">
        <v>564</v>
      </c>
      <c r="C54" s="33"/>
    </row>
    <row r="55" spans="2:3" ht="14.25" customHeight="1" x14ac:dyDescent="0.35">
      <c r="B55" s="33" t="s">
        <v>565</v>
      </c>
      <c r="C55" s="33"/>
    </row>
    <row r="56" spans="2:3" ht="14.25" customHeight="1" x14ac:dyDescent="0.35">
      <c r="B56" s="33" t="s">
        <v>566</v>
      </c>
      <c r="C56" s="33"/>
    </row>
    <row r="58" spans="2:3" ht="14.25" customHeight="1" x14ac:dyDescent="0.35">
      <c r="B58" s="4" t="s">
        <v>567</v>
      </c>
    </row>
    <row r="59" spans="2:3" ht="14.25" customHeight="1" x14ac:dyDescent="0.35">
      <c r="B59" s="32" t="s">
        <v>568</v>
      </c>
      <c r="C59" s="32"/>
    </row>
    <row r="60" spans="2:3" ht="14.25" customHeight="1" x14ac:dyDescent="0.35">
      <c r="B60" s="32" t="s">
        <v>569</v>
      </c>
      <c r="C60" s="32"/>
    </row>
    <row r="61" spans="2:3" ht="14.25" customHeight="1" x14ac:dyDescent="0.35">
      <c r="B61" s="32" t="s">
        <v>570</v>
      </c>
      <c r="C61" s="32"/>
    </row>
    <row r="62" spans="2:3" ht="14.25" customHeight="1" x14ac:dyDescent="0.35">
      <c r="B62" s="32" t="s">
        <v>571</v>
      </c>
      <c r="C62" s="32"/>
    </row>
    <row r="63" spans="2:3" ht="14.25" customHeight="1" x14ac:dyDescent="0.35">
      <c r="B63" s="32"/>
      <c r="C63" s="32"/>
    </row>
    <row r="64" spans="2:3" ht="14.25" customHeight="1" x14ac:dyDescent="0.35">
      <c r="B64" s="32" t="s">
        <v>572</v>
      </c>
      <c r="C64" s="32"/>
    </row>
  </sheetData>
  <mergeCells count="34">
    <mergeCell ref="B5:C5"/>
    <mergeCell ref="B28:C28"/>
    <mergeCell ref="B29:C29"/>
    <mergeCell ref="B30:C30"/>
    <mergeCell ref="B31:C31"/>
    <mergeCell ref="B32:C32"/>
    <mergeCell ref="B33:C33"/>
    <mergeCell ref="B34:C34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573</v>
      </c>
    </row>
    <row r="2" spans="1:6" ht="14.25" customHeight="1" x14ac:dyDescent="0.35">
      <c r="A2" s="3" t="s">
        <v>574</v>
      </c>
    </row>
    <row r="4" spans="1:6" ht="31.5" customHeight="1" x14ac:dyDescent="0.35">
      <c r="A4" s="8" t="s">
        <v>575</v>
      </c>
      <c r="B4" s="8" t="s">
        <v>576</v>
      </c>
      <c r="C4" s="8" t="s">
        <v>577</v>
      </c>
      <c r="E4" s="8" t="s">
        <v>578</v>
      </c>
      <c r="F4" s="8" t="s">
        <v>579</v>
      </c>
    </row>
    <row r="5" spans="1:6" ht="24.75" customHeight="1" x14ac:dyDescent="0.35">
      <c r="A5" s="21" t="s">
        <v>580</v>
      </c>
      <c r="B5" s="21" t="s">
        <v>581</v>
      </c>
      <c r="C5" s="21" t="s">
        <v>582</v>
      </c>
      <c r="E5" s="21" t="s">
        <v>130</v>
      </c>
      <c r="F5" s="21" t="s">
        <v>583</v>
      </c>
    </row>
    <row r="6" spans="1:6" ht="24.75" customHeight="1" x14ac:dyDescent="0.35">
      <c r="A6" s="21" t="s">
        <v>584</v>
      </c>
      <c r="B6" s="21" t="s">
        <v>585</v>
      </c>
      <c r="C6" s="21" t="s">
        <v>586</v>
      </c>
      <c r="E6" s="21" t="s">
        <v>587</v>
      </c>
      <c r="F6" s="21" t="s">
        <v>588</v>
      </c>
    </row>
    <row r="7" spans="1:6" ht="14.25" customHeight="1" x14ac:dyDescent="0.35">
      <c r="A7" s="21" t="s">
        <v>589</v>
      </c>
      <c r="B7" s="21" t="s">
        <v>590</v>
      </c>
      <c r="C7" s="21" t="s">
        <v>591</v>
      </c>
      <c r="E7" s="21" t="s">
        <v>217</v>
      </c>
      <c r="F7" s="21" t="s">
        <v>592</v>
      </c>
    </row>
    <row r="8" spans="1:6" ht="37.5" customHeight="1" x14ac:dyDescent="0.35">
      <c r="A8" s="21" t="s">
        <v>593</v>
      </c>
      <c r="B8" s="21" t="s">
        <v>594</v>
      </c>
      <c r="C8" s="21" t="s">
        <v>582</v>
      </c>
      <c r="E8" s="21" t="s">
        <v>223</v>
      </c>
      <c r="F8" s="21" t="s">
        <v>595</v>
      </c>
    </row>
    <row r="9" spans="1:6" ht="14.25" customHeight="1" x14ac:dyDescent="0.35">
      <c r="A9" s="21" t="s">
        <v>596</v>
      </c>
      <c r="B9" s="21" t="s">
        <v>597</v>
      </c>
      <c r="C9" s="21" t="s">
        <v>598</v>
      </c>
      <c r="E9" s="21" t="s">
        <v>222</v>
      </c>
      <c r="F9" s="21" t="s">
        <v>599</v>
      </c>
    </row>
    <row r="10" spans="1:6" ht="24.75" customHeight="1" x14ac:dyDescent="0.35">
      <c r="A10" s="21" t="s">
        <v>600</v>
      </c>
      <c r="B10" s="21" t="s">
        <v>601</v>
      </c>
      <c r="C10" s="21" t="s">
        <v>591</v>
      </c>
      <c r="E10" s="21" t="s">
        <v>602</v>
      </c>
      <c r="F10" s="21" t="s">
        <v>603</v>
      </c>
    </row>
    <row r="11" spans="1:6" ht="14.25" customHeight="1" x14ac:dyDescent="0.35">
      <c r="A11" s="21" t="s">
        <v>604</v>
      </c>
      <c r="B11" s="21" t="s">
        <v>605</v>
      </c>
      <c r="C11" s="21" t="s">
        <v>606</v>
      </c>
      <c r="E11" s="21" t="s">
        <v>607</v>
      </c>
      <c r="F11" s="21" t="s">
        <v>608</v>
      </c>
    </row>
    <row r="12" spans="1:6" ht="37.5" customHeight="1" x14ac:dyDescent="0.35">
      <c r="A12" s="21" t="s">
        <v>609</v>
      </c>
      <c r="B12" s="21" t="s">
        <v>610</v>
      </c>
      <c r="C12" s="21" t="s">
        <v>611</v>
      </c>
      <c r="E12" s="21" t="s">
        <v>395</v>
      </c>
      <c r="F12" s="21" t="s">
        <v>612</v>
      </c>
    </row>
    <row r="13" spans="1:6" ht="24.75" customHeight="1" x14ac:dyDescent="0.35">
      <c r="A13" s="21" t="s">
        <v>613</v>
      </c>
      <c r="B13" s="21" t="s">
        <v>614</v>
      </c>
      <c r="C13" s="21" t="s">
        <v>606</v>
      </c>
      <c r="E13" s="21" t="s">
        <v>615</v>
      </c>
      <c r="F13" s="21" t="s">
        <v>616</v>
      </c>
    </row>
    <row r="14" spans="1:6" ht="14.25" customHeight="1" x14ac:dyDescent="0.35">
      <c r="A14" s="21" t="s">
        <v>617</v>
      </c>
      <c r="B14" s="21" t="s">
        <v>618</v>
      </c>
      <c r="C14" s="21" t="s">
        <v>619</v>
      </c>
    </row>
    <row r="15" spans="1:6" ht="14.25" customHeight="1" x14ac:dyDescent="0.35">
      <c r="A15" s="21" t="s">
        <v>620</v>
      </c>
      <c r="B15" s="21" t="s">
        <v>621</v>
      </c>
      <c r="C15" s="21" t="s">
        <v>619</v>
      </c>
    </row>
    <row r="16" spans="1:6" ht="14.25" customHeight="1" x14ac:dyDescent="0.35">
      <c r="A16" s="21" t="s">
        <v>622</v>
      </c>
      <c r="B16" s="21" t="s">
        <v>623</v>
      </c>
      <c r="C16" s="21" t="s">
        <v>624</v>
      </c>
    </row>
    <row r="17" spans="1:3" ht="14.25" customHeight="1" x14ac:dyDescent="0.35">
      <c r="A17" s="21" t="s">
        <v>625</v>
      </c>
      <c r="B17" s="21" t="s">
        <v>626</v>
      </c>
      <c r="C17" s="21" t="s">
        <v>627</v>
      </c>
    </row>
    <row r="18" spans="1:3" ht="14.25" customHeight="1" x14ac:dyDescent="0.35">
      <c r="A18" s="21" t="s">
        <v>628</v>
      </c>
      <c r="B18" s="21" t="s">
        <v>629</v>
      </c>
      <c r="C18" s="21" t="s">
        <v>627</v>
      </c>
    </row>
    <row r="19" spans="1:3" ht="14.25" customHeight="1" x14ac:dyDescent="0.35">
      <c r="A19" s="21" t="s">
        <v>630</v>
      </c>
      <c r="B19" s="21" t="s">
        <v>631</v>
      </c>
      <c r="C19" s="21" t="s">
        <v>219</v>
      </c>
    </row>
    <row r="20" spans="1:3" ht="14.25" customHeight="1" x14ac:dyDescent="0.35">
      <c r="A20" s="21" t="s">
        <v>632</v>
      </c>
      <c r="B20" s="21" t="s">
        <v>633</v>
      </c>
      <c r="C20" s="21" t="s">
        <v>219</v>
      </c>
    </row>
    <row r="21" spans="1:3" ht="14.25" customHeight="1" x14ac:dyDescent="0.35">
      <c r="A21" s="21" t="s">
        <v>634</v>
      </c>
      <c r="B21" s="21" t="s">
        <v>635</v>
      </c>
      <c r="C21" s="21" t="s">
        <v>636</v>
      </c>
    </row>
    <row r="22" spans="1:3" ht="14.25" customHeight="1" x14ac:dyDescent="0.35">
      <c r="A22" s="21" t="s">
        <v>637</v>
      </c>
      <c r="B22" s="21" t="s">
        <v>638</v>
      </c>
      <c r="C22" s="21" t="s">
        <v>636</v>
      </c>
    </row>
    <row r="23" spans="1:3" ht="14.25" customHeight="1" x14ac:dyDescent="0.35">
      <c r="A23" s="21" t="s">
        <v>639</v>
      </c>
      <c r="B23" s="21" t="s">
        <v>640</v>
      </c>
      <c r="C23" s="21" t="s">
        <v>219</v>
      </c>
    </row>
    <row r="24" spans="1:3" ht="14.25" customHeight="1" x14ac:dyDescent="0.35">
      <c r="A24" s="21" t="s">
        <v>641</v>
      </c>
      <c r="B24" s="21" t="s">
        <v>642</v>
      </c>
      <c r="C24" s="21" t="s">
        <v>219</v>
      </c>
    </row>
    <row r="25" spans="1:3" ht="14.25" customHeight="1" x14ac:dyDescent="0.35">
      <c r="A25" s="21" t="s">
        <v>643</v>
      </c>
      <c r="B25" s="21" t="s">
        <v>644</v>
      </c>
      <c r="C25" s="21" t="s">
        <v>645</v>
      </c>
    </row>
    <row r="26" spans="1:3" ht="14.25" customHeight="1" x14ac:dyDescent="0.35">
      <c r="A26" s="21" t="s">
        <v>646</v>
      </c>
      <c r="B26" s="21" t="s">
        <v>647</v>
      </c>
      <c r="C26" s="21" t="s">
        <v>648</v>
      </c>
    </row>
    <row r="27" spans="1:3" ht="14.25" customHeight="1" x14ac:dyDescent="0.35">
      <c r="A27" s="21" t="s">
        <v>649</v>
      </c>
      <c r="B27" s="21" t="s">
        <v>650</v>
      </c>
      <c r="C27" s="21" t="s">
        <v>651</v>
      </c>
    </row>
    <row r="28" spans="1:3" ht="14.25" customHeight="1" x14ac:dyDescent="0.35">
      <c r="A28" s="21" t="s">
        <v>652</v>
      </c>
      <c r="B28" s="21" t="s">
        <v>497</v>
      </c>
      <c r="C28" s="21" t="s">
        <v>653</v>
      </c>
    </row>
    <row r="29" spans="1:3" ht="14.25" customHeight="1" x14ac:dyDescent="0.35">
      <c r="A29" s="21" t="s">
        <v>654</v>
      </c>
      <c r="B29" s="21" t="s">
        <v>655</v>
      </c>
      <c r="C29" s="21" t="s">
        <v>656</v>
      </c>
    </row>
    <row r="30" spans="1:3" ht="14.25" customHeight="1" x14ac:dyDescent="0.35">
      <c r="A30" s="21" t="s">
        <v>657</v>
      </c>
      <c r="B30" s="21" t="s">
        <v>658</v>
      </c>
      <c r="C30" s="21" t="s">
        <v>659</v>
      </c>
    </row>
    <row r="31" spans="1:3" ht="14.25" customHeight="1" x14ac:dyDescent="0.35">
      <c r="A31" s="21" t="s">
        <v>660</v>
      </c>
      <c r="B31" s="21" t="s">
        <v>440</v>
      </c>
      <c r="C31" s="21" t="s">
        <v>61</v>
      </c>
    </row>
    <row r="32" spans="1:3" ht="14.25" customHeight="1" x14ac:dyDescent="0.35">
      <c r="A32" s="21" t="s">
        <v>661</v>
      </c>
      <c r="B32" s="21" t="s">
        <v>662</v>
      </c>
      <c r="C32" s="21" t="s">
        <v>606</v>
      </c>
    </row>
    <row r="33" spans="1:3" ht="14.25" customHeight="1" x14ac:dyDescent="0.35">
      <c r="A33" s="21" t="s">
        <v>663</v>
      </c>
      <c r="B33" s="21" t="s">
        <v>664</v>
      </c>
      <c r="C33" s="21" t="s">
        <v>219</v>
      </c>
    </row>
    <row r="34" spans="1:3" ht="14.25" customHeight="1" x14ac:dyDescent="0.35">
      <c r="A34" s="21" t="s">
        <v>665</v>
      </c>
      <c r="B34" s="21" t="s">
        <v>666</v>
      </c>
      <c r="C34" s="21" t="s">
        <v>656</v>
      </c>
    </row>
    <row r="35" spans="1:3" ht="14.25" customHeight="1" x14ac:dyDescent="0.35">
      <c r="A35" s="21" t="s">
        <v>667</v>
      </c>
      <c r="B35" s="21" t="s">
        <v>668</v>
      </c>
      <c r="C35" s="21" t="s">
        <v>669</v>
      </c>
    </row>
    <row r="36" spans="1:3" ht="14.25" customHeight="1" x14ac:dyDescent="0.35">
      <c r="A36" s="21" t="s">
        <v>670</v>
      </c>
      <c r="B36" s="21" t="s">
        <v>671</v>
      </c>
      <c r="C36" s="21" t="s">
        <v>656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672</v>
      </c>
    </row>
    <row r="2" spans="1:11" x14ac:dyDescent="0.35">
      <c r="A2" s="24" t="s">
        <v>673</v>
      </c>
    </row>
    <row r="4" spans="1:11" ht="30" customHeight="1" x14ac:dyDescent="0.35">
      <c r="A4" s="8" t="s">
        <v>674</v>
      </c>
      <c r="B4" s="8" t="s">
        <v>50</v>
      </c>
      <c r="C4" s="8" t="s">
        <v>675</v>
      </c>
      <c r="D4" s="8" t="s">
        <v>676</v>
      </c>
      <c r="E4" s="8" t="s">
        <v>677</v>
      </c>
      <c r="F4" s="8" t="s">
        <v>678</v>
      </c>
      <c r="G4" s="8" t="s">
        <v>131</v>
      </c>
      <c r="H4" s="8" t="s">
        <v>679</v>
      </c>
      <c r="I4" s="8" t="s">
        <v>62</v>
      </c>
      <c r="J4" s="8" t="s">
        <v>680</v>
      </c>
      <c r="K4" s="8" t="s">
        <v>394</v>
      </c>
    </row>
    <row r="5" spans="1:11" x14ac:dyDescent="0.35">
      <c r="A5" s="25" t="s">
        <v>681</v>
      </c>
      <c r="B5" s="25" t="s">
        <v>66</v>
      </c>
      <c r="C5" s="25" t="s">
        <v>682</v>
      </c>
      <c r="D5" s="25"/>
      <c r="E5" s="26" t="s">
        <v>683</v>
      </c>
      <c r="F5" s="26" t="s">
        <v>684</v>
      </c>
      <c r="G5" s="25" t="s">
        <v>71</v>
      </c>
      <c r="H5" s="26" t="s">
        <v>685</v>
      </c>
      <c r="I5" s="25" t="s">
        <v>77</v>
      </c>
      <c r="J5" s="27"/>
      <c r="K5" s="26"/>
    </row>
    <row r="6" spans="1:11" x14ac:dyDescent="0.35">
      <c r="A6" s="25" t="s">
        <v>686</v>
      </c>
      <c r="B6" s="25" t="s">
        <v>66</v>
      </c>
      <c r="C6" s="25" t="s">
        <v>687</v>
      </c>
      <c r="D6" s="25"/>
      <c r="E6" s="26" t="s">
        <v>683</v>
      </c>
      <c r="F6" s="26" t="s">
        <v>684</v>
      </c>
      <c r="G6" s="25" t="s">
        <v>71</v>
      </c>
      <c r="H6" s="26" t="s">
        <v>688</v>
      </c>
      <c r="I6" s="25" t="s">
        <v>77</v>
      </c>
      <c r="J6" s="27"/>
      <c r="K6" s="26"/>
    </row>
    <row r="7" spans="1:11" x14ac:dyDescent="0.35">
      <c r="A7" s="25" t="s">
        <v>689</v>
      </c>
      <c r="B7" s="25" t="s">
        <v>80</v>
      </c>
      <c r="C7" s="25" t="s">
        <v>690</v>
      </c>
      <c r="D7" s="25"/>
      <c r="E7" s="26" t="s">
        <v>683</v>
      </c>
      <c r="F7" s="26" t="s">
        <v>684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689</v>
      </c>
      <c r="B8" s="25" t="s">
        <v>84</v>
      </c>
      <c r="C8" s="25" t="s">
        <v>690</v>
      </c>
      <c r="D8" s="25"/>
      <c r="E8" s="26" t="s">
        <v>683</v>
      </c>
      <c r="F8" s="26" t="s">
        <v>684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681</v>
      </c>
      <c r="B9" s="25" t="s">
        <v>88</v>
      </c>
      <c r="C9" s="25" t="s">
        <v>682</v>
      </c>
      <c r="D9" s="25"/>
      <c r="E9" s="26" t="s">
        <v>683</v>
      </c>
      <c r="F9" s="26" t="s">
        <v>684</v>
      </c>
      <c r="G9" s="25" t="s">
        <v>71</v>
      </c>
      <c r="H9" s="26" t="s">
        <v>691</v>
      </c>
      <c r="I9" s="25" t="s">
        <v>77</v>
      </c>
      <c r="J9" s="27"/>
      <c r="K9" s="26"/>
    </row>
    <row r="10" spans="1:11" x14ac:dyDescent="0.35">
      <c r="A10" s="25" t="s">
        <v>692</v>
      </c>
      <c r="B10" s="25" t="s">
        <v>95</v>
      </c>
      <c r="C10" s="25" t="s">
        <v>693</v>
      </c>
      <c r="D10" s="25"/>
      <c r="E10" s="26" t="s">
        <v>683</v>
      </c>
      <c r="F10" s="26" t="s">
        <v>684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681</v>
      </c>
      <c r="B11" s="25" t="s">
        <v>99</v>
      </c>
      <c r="C11" s="25" t="s">
        <v>682</v>
      </c>
      <c r="D11" s="25"/>
      <c r="E11" s="26" t="s">
        <v>683</v>
      </c>
      <c r="F11" s="26" t="s">
        <v>684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689</v>
      </c>
      <c r="B12" s="25" t="s">
        <v>103</v>
      </c>
      <c r="C12" s="25" t="s">
        <v>690</v>
      </c>
      <c r="D12" s="25"/>
      <c r="E12" s="26" t="s">
        <v>683</v>
      </c>
      <c r="F12" s="26" t="s">
        <v>684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689</v>
      </c>
      <c r="B13" s="25" t="s">
        <v>108</v>
      </c>
      <c r="C13" s="25" t="s">
        <v>690</v>
      </c>
      <c r="D13" s="25"/>
      <c r="E13" s="26" t="s">
        <v>683</v>
      </c>
      <c r="F13" s="26" t="s">
        <v>684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694</v>
      </c>
      <c r="B14" s="25" t="s">
        <v>112</v>
      </c>
      <c r="C14" s="25" t="s">
        <v>695</v>
      </c>
      <c r="D14" s="25"/>
      <c r="E14" s="26" t="s">
        <v>683</v>
      </c>
      <c r="F14" s="26" t="s">
        <v>684</v>
      </c>
      <c r="G14" s="25" t="s">
        <v>92</v>
      </c>
      <c r="H14" s="26" t="s">
        <v>696</v>
      </c>
      <c r="I14" s="25" t="s">
        <v>77</v>
      </c>
      <c r="J14" s="27"/>
      <c r="K14" s="26"/>
    </row>
    <row r="15" spans="1:11" x14ac:dyDescent="0.35">
      <c r="A15" s="25" t="s">
        <v>697</v>
      </c>
      <c r="B15" s="25" t="s">
        <v>118</v>
      </c>
      <c r="C15" s="25" t="s">
        <v>684</v>
      </c>
      <c r="D15" s="25"/>
      <c r="E15" s="26" t="s">
        <v>683</v>
      </c>
      <c r="F15" s="26" t="s">
        <v>684</v>
      </c>
      <c r="G15" s="25" t="s">
        <v>121</v>
      </c>
      <c r="H15" s="26" t="s">
        <v>698</v>
      </c>
      <c r="I15" s="25" t="s">
        <v>77</v>
      </c>
      <c r="J15" s="27"/>
      <c r="K15" s="26"/>
    </row>
    <row r="16" spans="1:11" ht="57.5" x14ac:dyDescent="0.35">
      <c r="A16" s="25" t="s">
        <v>694</v>
      </c>
      <c r="B16" s="25" t="s">
        <v>116</v>
      </c>
      <c r="C16" s="25" t="s">
        <v>695</v>
      </c>
      <c r="D16" s="25"/>
      <c r="E16" s="26" t="s">
        <v>683</v>
      </c>
      <c r="F16" s="26" t="s">
        <v>684</v>
      </c>
      <c r="G16" s="25" t="s">
        <v>92</v>
      </c>
      <c r="H16" s="26" t="s">
        <v>700</v>
      </c>
      <c r="I16" s="25" t="s">
        <v>77</v>
      </c>
      <c r="J16" s="27"/>
      <c r="K16" s="26"/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3" spans="1:11" x14ac:dyDescent="0.35">
      <c r="A23" s="28"/>
      <c r="B23" s="28"/>
      <c r="C23" s="28"/>
      <c r="D23" s="28"/>
      <c r="E23" s="28"/>
      <c r="F23" s="28"/>
      <c r="G23" s="28"/>
      <c r="H23" s="28"/>
      <c r="I23" s="28"/>
      <c r="J23" s="29"/>
      <c r="K23" s="28"/>
    </row>
    <row r="25" spans="1:11" x14ac:dyDescent="0.35">
      <c r="A25" s="35" t="s">
        <v>699</v>
      </c>
      <c r="B25" s="35"/>
      <c r="C25" s="35"/>
      <c r="D25" s="35"/>
      <c r="E25" s="35"/>
      <c r="F25" s="35"/>
      <c r="G25" s="35"/>
      <c r="H25" s="35"/>
    </row>
  </sheetData>
  <mergeCells count="1"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2026-07-27T09:35:53Z</dcterms:modified>
  <dc:language>en-US</dc:language>
</cp:coreProperties>
</file>