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0C840434-6C31-4BAB-BBED-CF05EB567690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Voucher'!$A$1:$H$27</definedName>
    <definedName name="_xlnm.Print_Area" localSheetId="5">'Receiving Voucher'!$A$1:$H$27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A2" i="8"/>
  <c r="A1" i="8"/>
  <c r="A4" i="7"/>
  <c r="A3" i="7"/>
  <c r="A2" i="7"/>
  <c r="A1" i="7"/>
  <c r="A4" i="6"/>
  <c r="A3" i="6"/>
  <c r="A2" i="6"/>
  <c r="A1" i="6"/>
  <c r="A4" i="5"/>
  <c r="A3" i="5"/>
  <c r="A2" i="5"/>
  <c r="A1" i="5"/>
  <c r="A4" i="4"/>
  <c r="A3" i="4"/>
  <c r="A2" i="4"/>
  <c r="A1" i="4"/>
  <c r="A20" i="7"/>
  <c r="G11" i="7"/>
  <c r="K9" i="7"/>
  <c r="A20" i="6"/>
  <c r="G11" i="6"/>
  <c r="K9" i="6"/>
  <c r="A20" i="5"/>
  <c r="E11" i="5"/>
  <c r="K9" i="5"/>
  <c r="A20" i="4"/>
  <c r="E11" i="4"/>
  <c r="K9" i="4"/>
  <c r="K8" i="8"/>
  <c r="K6" i="8"/>
  <c r="C23" i="7"/>
  <c r="K8" i="7"/>
  <c r="K6" i="7"/>
  <c r="A23" i="6"/>
  <c r="K8" i="6"/>
  <c r="K6" i="6"/>
  <c r="K8" i="5"/>
  <c r="K6" i="5"/>
  <c r="K8" i="4"/>
  <c r="K6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G7" i="5" s="1"/>
  <c r="E18" i="4"/>
  <c r="K7" i="4"/>
  <c r="G7" i="4" s="1"/>
</calcChain>
</file>

<file path=xl/sharedStrings.xml><?xml version="1.0" encoding="utf-8"?>
<sst xmlns="http://schemas.openxmlformats.org/spreadsheetml/2006/main" count="397" uniqueCount="210">
  <si>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</si>
  <si>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</si>
  <si>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</si>
  <si>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</si>
  <si>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</si>
  <si>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</si>
  <si>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</si>
  <si>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</si>
  <si>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</si>
  <si>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</si>
  <si>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</si>
  <si>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</si>
  <si>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</si>
  <si>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</si>
  <si>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</si>
  <si>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</si>
  <si>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</si>
  <si>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</si>
  <si>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</si>
  <si>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</si>
  <si>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</si>
  <si>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</si>
  <si>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</si>
  <si>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</si>
  <si>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</si>
  <si>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</si>
  <si>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</si>
  <si>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</si>
  <si>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</si>
  <si>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</si>
  <si>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</si>
  <si>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</si>
  <si>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</si>
  <si>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</si>
  <si>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</si>
  <si>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</si>
  <si>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</si>
  <si>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</si>
  <si>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</si>
  <si>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</si>
  <si>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</si>
  <si>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</si>
  <si>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</si>
  <si>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</si>
  <si>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</si>
  <si>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</si>
  <si>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</si>
  <si>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</si>
  <si>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</si>
  <si>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</si>
  <si>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</si>
  <si>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</si>
  <si>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</si>
  <si>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</si>
  <si>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</si>
  <si>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</si>
  <si>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</si>
  <si>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</si>
  <si>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</si>
  <si>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</si>
  <si>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</si>
  <si>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</si>
  <si>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</si>
  <si>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</si>
  <si>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</si>
  <si>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</si>
  <si>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</si>
  <si>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</si>
  <si>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</si>
  <si>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</si>
  <si>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</si>
  <si>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</si>
  <si>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</si>
  <si>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</si>
  <si>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</si>
  <si>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</si>
  <si>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</si>
  <si>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</si>
  <si>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</si>
  <si>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</si>
  <si>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</si>
  <si>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</si>
  <si>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</si>
  <si>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</si>
  <si>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</si>
  <si>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</si>
  <si>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</si>
  <si>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</si>
  <si>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</si>
  <si>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</si>
  <si>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</si>
  <si>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</si>
  <si>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</si>
  <si>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</si>
  <si>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</si>
  <si>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</si>
  <si>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</si>
  <si>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</si>
  <si>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</si>
  <si>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</si>
  <si>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</si>
  <si>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</si>
  <si>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</si>
  <si>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</si>
  <si>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</si>
  <si>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</si>
  <si>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</si>
  <si>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</si>
  <si>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</si>
  <si>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</si>
  <si>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</si>
  <si>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</si>
  <si>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</si>
  <si>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</si>
  <si>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</si>
  <si>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</si>
  <si>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</si>
  <si>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</si>
  <si>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</si>
  <si>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</si>
  <si>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</si>
  <si>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</si>
  <si>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</si>
  <si>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</si>
  <si>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</si>
  <si>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</si>
  <si>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</si>
  <si>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</si>
  <si>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</si>
  <si>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</si>
  <si>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</si>
  <si>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</si>
  <si>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</si>
  <si>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</si>
  <si>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</si>
  <si>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</si>
  <si>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</si>
  <si>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</si>
  <si>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</si>
  <si>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</si>
  <si>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</si>
  <si>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</si>
  <si>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</si>
  <si>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ISSUED BY</t>
  </si>
  <si>
    <t>APPROVED BY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</si>
  <si>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</si>
  <si>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</si>
  <si>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</si>
  <si>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</si>
  <si>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</si>
  <si>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</si>
  <si>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</si>
  <si>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</si>
  <si>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</si>
  <si>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</si>
  <si>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</si>
  <si>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</si>
  <si>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</si>
  <si>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</si>
  <si>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</si>
  <si>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</si>
  <si>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</si>
  <si>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</si>
  <si>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</si>
  <si>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</si>
  <si>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</si>
  <si>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</si>
  <si>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</si>
  <si>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</si>
  <si>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</si>
  <si>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</si>
  <si>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</si>
  <si>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</si>
  <si>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</si>
  <si>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</si>
  <si>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</si>
  <si>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</si>
  <si>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</si>
  <si>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</si>
  <si>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</si>
  <si>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</si>
  <si>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</si>
  <si>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</si>
  <si>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</si>
  <si>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</si>
  <si>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</si>
  <si>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</si>
  <si>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</si>
  <si>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</si>
  <si>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</si>
  <si>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</si>
  <si>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</si>
  <si>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</si>
  <si>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</si>
  <si>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</si>
  <si>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</si>
  <si>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</si>
  <si>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</si>
  <si>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</si>
  <si>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</si>
  <si>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</si>
  <si>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</si>
  <si>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</si>
  <si>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</si>
  <si>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</si>
  <si>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</si>
  <si>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</si>
  <si>
    <t>Mode of Payment :</t>
  </si>
  <si>
    <t>Signature :</t>
  </si>
  <si>
    <t>CHECKED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</si>
</sst>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1F3864"/>
      <name val="Arial"/>
      <family val="2"/>
    </font>
    <font>
      <sz val="13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5"/>
      <color theme="1"/>
      <name val="Arial"/>
      <family val="2"/>
    </font>
    <font>
      <i/>
      <sz val="10"/>
      <color rgb="FF808080"/>
      <name val="Arial"/>
      <family val="2"/>
    </font>
    <font>
      <sz val="12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color rgb="FFC00000"/>
      <name val="Arial"/>
      <family val="2"/>
    </font>
    <font>
      <i/>
      <sz val="12"/>
      <color rgb="FF000000"/>
      <name val="Arial"/>
      <family val="2"/>
    </font>
    <font>
      <b/>
      <sz val="13"/>
      <color rgb="FF000000"/>
      <name val="Arial"/>
      <family val="2"/>
    </font>
    <font>
      <sz val="7"/>
      <color rgb="FF000000"/>
      <name val="Arial"/>
      <family val="2"/>
    </font>
    <font>
      <b/>
      <sz val="10"/>
      <color theme="1"/>
      <name val="Arial"/>
      <family val="2"/>
    </font>
    <font>
      <b/>
      <sz val="7"/>
      <color rgb="FF000000"/>
      <name val="Arial"/>
      <family val="2"/>
    </font>
    <font>
      <sz val="8"/>
      <color rgb="FF000000"/>
      <name val="Arial"/>
      <family val="2"/>
    </font>
    <font>
      <b/>
      <sz val="7"/>
      <color theme="1"/>
      <name val="Arial"/>
      <family val="2"/>
    </font>
    <font>
      <b/>
      <sz val="8"/>
      <color rgb="FF000000"/>
      <name val="Arial"/>
      <family val="2"/>
    </font>
    <font>
      <b/>
      <sz val="7"/>
      <color rgb="FFFFFFFF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0" fillId="0" borderId="0" xfId="0" applyFont="1"/>
    <xf numFmtId="0" fontId="13" fillId="0" borderId="0" xfId="0" applyFont="1"/>
    <xf numFmtId="0" fontId="14" fillId="2" borderId="0" xfId="0" applyFont="1" applyFill="1"/>
    <xf numFmtId="0" fontId="13" fillId="2" borderId="0" xfId="0" applyFont="1" applyFill="1"/>
    <xf numFmtId="0" fontId="16" fillId="3" borderId="1" xfId="0" applyFont="1" applyFill="1" applyBorder="1" applyAlignment="1">
      <alignment horizontal="center" vertical="center" wrapText="1"/>
    </xf>
    <xf numFmtId="0" fontId="18" fillId="0" borderId="0" xfId="0" applyFont="1"/>
    <xf numFmtId="0" fontId="9" fillId="0" borderId="0" xfId="0" applyFont="1" applyAlignment="1">
      <alignment horizontal="center" vertical="center" wrapText="1"/>
    </xf>
    <xf numFmtId="0" fontId="16" fillId="0" borderId="0" xfId="0" applyFont="1"/>
    <xf numFmtId="0" fontId="16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6" fillId="4" borderId="1" xfId="0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center" vertical="center" wrapText="1"/>
    </xf>
    <xf numFmtId="0" fontId="19" fillId="0" borderId="0" xfId="0" applyFont="1"/>
    <xf numFmtId="43" fontId="19" fillId="3" borderId="1" xfId="0" applyNumberFormat="1" applyFont="1" applyFill="1" applyBorder="1"/>
    <xf numFmtId="43" fontId="16" fillId="4" borderId="1" xfId="0" applyNumberFormat="1" applyFont="1" applyFill="1" applyBorder="1"/>
    <xf numFmtId="43" fontId="19" fillId="0" borderId="1" xfId="0" applyNumberFormat="1" applyFont="1" applyBorder="1"/>
    <xf numFmtId="0" fontId="23" fillId="0" borderId="0" xfId="0" applyFont="1"/>
    <xf numFmtId="43" fontId="23" fillId="4" borderId="1" xfId="0" applyNumberFormat="1" applyFont="1" applyFill="1" applyBorder="1"/>
    <xf numFmtId="0" fontId="26" fillId="0" borderId="0" xfId="0" applyFont="1"/>
    <xf numFmtId="0" fontId="28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9" fillId="0" borderId="0" xfId="0" applyFont="1"/>
    <xf numFmtId="0" fontId="13" fillId="0" borderId="0" xfId="0" applyFont="1"/>
    <xf numFmtId="43" fontId="29" fillId="4" borderId="9" xfId="0" applyNumberFormat="1" applyFont="1" applyFill="1" applyBorder="1" applyAlignment="1">
      <alignment horizontal="right" vertical="center"/>
    </xf>
    <xf numFmtId="0" fontId="32" fillId="0" borderId="9" xfId="0" applyFont="1" applyBorder="1"/>
    <xf numFmtId="0" fontId="27" fillId="3" borderId="5" xfId="0" applyFont="1" applyFill="1" applyBorder="1" applyAlignment="1">
      <alignment horizontal="left" vertical="center" wrapText="1"/>
    </xf>
    <xf numFmtId="0" fontId="31" fillId="0" borderId="4" xfId="0" applyFont="1" applyBorder="1"/>
    <xf numFmtId="0" fontId="2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43" fontId="27" fillId="3" borderId="4" xfId="0" applyNumberFormat="1" applyFont="1" applyFill="1" applyBorder="1" applyAlignment="1">
      <alignment horizontal="right" vertical="center"/>
    </xf>
    <xf numFmtId="0" fontId="27" fillId="3" borderId="4" xfId="0" applyFont="1" applyFill="1" applyBorder="1" applyAlignment="1">
      <alignment horizontal="center" vertical="center" wrapText="1"/>
    </xf>
    <xf numFmtId="0" fontId="31" fillId="0" borderId="11" xfId="0" applyFont="1" applyBorder="1"/>
    <xf numFmtId="0" fontId="30" fillId="2" borderId="7" xfId="0" applyFont="1" applyFill="1" applyBorder="1" applyAlignment="1">
      <alignment horizontal="center" vertical="center" wrapText="1"/>
    </xf>
    <xf numFmtId="0" fontId="28" fillId="2" borderId="7" xfId="0" applyFont="1" applyFill="1" applyBorder="1"/>
    <xf numFmtId="0" fontId="28" fillId="2" borderId="10" xfId="0" applyFont="1" applyFill="1" applyBorder="1"/>
    <xf numFmtId="0" fontId="25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2" fillId="5" borderId="15" xfId="0" applyFont="1" applyFill="1" applyBorder="1" applyAlignment="1">
      <alignment horizontal="center" vertical="center" wrapText="1"/>
    </xf>
    <xf numFmtId="0" fontId="32" fillId="5" borderId="16" xfId="0" applyFont="1" applyFill="1" applyBorder="1" applyAlignment="1">
      <alignment horizontal="center" vertical="center"/>
    </xf>
    <xf numFmtId="0" fontId="13" fillId="0" borderId="17" xfId="0" applyFont="1" applyBorder="1" applyAlignment="1">
      <alignment horizontal="center" vertical="center" wrapText="1"/>
    </xf>
    <xf numFmtId="0" fontId="30" fillId="2" borderId="6" xfId="0" applyFont="1" applyFill="1" applyBorder="1" applyAlignment="1">
      <alignment horizontal="center" vertical="center" wrapText="1"/>
    </xf>
    <xf numFmtId="0" fontId="32" fillId="0" borderId="12" xfId="0" applyFont="1" applyBorder="1"/>
    <xf numFmtId="0" fontId="19" fillId="5" borderId="13" xfId="0" applyFont="1" applyFill="1" applyBorder="1" applyAlignment="1">
      <alignment horizontal="left" vertical="center" wrapText="1"/>
    </xf>
    <xf numFmtId="164" fontId="29" fillId="5" borderId="4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29" fillId="0" borderId="8" xfId="0" applyFont="1" applyBorder="1" applyAlignment="1">
      <alignment horizontal="right" vertical="center"/>
    </xf>
    <xf numFmtId="0" fontId="13" fillId="0" borderId="17" xfId="0" applyFont="1" applyBorder="1"/>
    <xf numFmtId="0" fontId="19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0" fontId="20" fillId="3" borderId="1" xfId="0" applyFont="1" applyFill="1" applyBorder="1" applyAlignment="1">
      <alignment horizontal="left" vertical="center" wrapText="1"/>
    </xf>
    <xf numFmtId="43" fontId="19" fillId="3" borderId="1" xfId="0" applyNumberFormat="1" applyFont="1" applyFill="1" applyBorder="1" applyAlignment="1">
      <alignment horizontal="right" vertical="center"/>
    </xf>
    <xf numFmtId="43" fontId="16" fillId="4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left" vertical="center" wrapText="1"/>
    </xf>
    <xf numFmtId="0" fontId="16" fillId="0" borderId="1" xfId="0" applyFont="1" applyBorder="1" applyAlignment="1">
      <alignment horizontal="right" vertical="center"/>
    </xf>
    <xf numFmtId="0" fontId="12" fillId="0" borderId="0" xfId="0" applyFont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19" fillId="3" borderId="1" xfId="0" applyFont="1" applyFill="1" applyBorder="1"/>
    <xf numFmtId="0" fontId="19" fillId="0" borderId="1" xfId="0" applyFont="1" applyBorder="1"/>
    <xf numFmtId="0" fontId="14" fillId="2" borderId="0" xfId="0" applyFont="1" applyFill="1"/>
    <xf numFmtId="0" fontId="11" fillId="4" borderId="1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9" fillId="0" borderId="0" xfId="0" applyFont="1" applyFill="1" applyBorder="1" applyAlignment="1">
      <alignment horizontal="left" vertical="center"/>
    </xf>
    <xf numFmtId="0" fontId="29" fillId="5" borderId="18" xfId="0" applyFont="1" applyFill="1" applyBorder="1" applyAlignment="1">
      <alignment horizontal="left" vertical="center" wrapText="1"/>
    </xf>
    <xf numFmtId="0" fontId="29" fillId="5" borderId="13" xfId="0" applyFont="1" applyFill="1" applyBorder="1" applyAlignment="1">
      <alignment horizontal="left" vertical="center" wrapText="1"/>
    </xf>
    <xf numFmtId="0" fontId="29" fillId="5" borderId="14" xfId="0" applyFont="1" applyFill="1" applyBorder="1" applyAlignment="1">
      <alignment horizontal="left" vertical="center" wrapText="1"/>
    </xf>
    <xf numFmtId="0" fontId="13" fillId="0" borderId="0" xfId="0" applyFont="1" applyBorder="1"/>
    <xf numFmtId="0" fontId="28" fillId="0" borderId="0" xfId="0" applyFont="1" applyBorder="1" applyAlignment="1">
      <alignment horizontal="right" vertical="center"/>
    </xf>
    <xf numFmtId="0" fontId="27" fillId="5" borderId="18" xfId="0" applyFont="1" applyFill="1" applyBorder="1" applyAlignment="1">
      <alignment horizontal="left" vertical="center" wrapText="1"/>
    </xf>
    <xf numFmtId="0" fontId="19" fillId="5" borderId="1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horizontal="right" vertical="center"/>
    </xf>
    <xf numFmtId="0" fontId="29" fillId="4" borderId="16" xfId="0" applyFont="1" applyFill="1" applyBorder="1" applyAlignment="1">
      <alignment horizontal="right" vertical="center"/>
    </xf>
    <xf numFmtId="0" fontId="29" fillId="5" borderId="4" xfId="0" applyFont="1" applyFill="1" applyBorder="1" applyAlignment="1">
      <alignment horizontal="right" vertical="center"/>
    </xf>
    <xf numFmtId="0" fontId="29" fillId="3" borderId="16" xfId="0" applyFont="1" applyFill="1" applyBorder="1" applyAlignment="1">
      <alignment horizontal="right" vertical="center"/>
    </xf>
    <xf numFmtId="164" fontId="29" fillId="3" borderId="1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197</v>
      </c>
    </row>
    <row r="2" spans="1:3" x14ac:dyDescent="0.35">
      <c r="A2" t="s">
        <v>198</v>
      </c>
      <c r="B2" t="s">
        <v>199</v>
      </c>
      <c r="C2" t="s">
        <v>200</v>
      </c>
    </row>
    <row r="3" spans="1:3" x14ac:dyDescent="0.35">
      <c r="A3" t="s">
        <v>90</v>
      </c>
      <c r="B3" t="s">
        <v>201</v>
      </c>
      <c r="C3" t="s">
        <v>202</v>
      </c>
    </row>
    <row r="4" spans="1:3" x14ac:dyDescent="0.35">
      <c r="A4" t="s">
        <v>63</v>
      </c>
      <c r="B4" t="s">
        <v>203</v>
      </c>
      <c r="C4" t="s">
        <v>204</v>
      </c>
    </row>
    <row r="5" spans="1:3" x14ac:dyDescent="0.35">
      <c r="A5" t="s">
        <v>95</v>
      </c>
      <c r="B5" t="s">
        <v>205</v>
      </c>
      <c r="C5" t="s"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6.6328125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I1" s="11"/>
      <c r="J1" s="12" t="s">
        <v>126</v>
      </c>
      <c r="K1" s="13"/>
    </row>
    <row r="2" spans="1:11" ht="10" customHeight="1" x14ac:dyDescent="0.4">
      <c r="A2" s="40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I2" s="11"/>
      <c r="J2" s="34" t="s">
        <v>128</v>
      </c>
      <c r="K2" s="35"/>
    </row>
    <row r="3" spans="1:11" ht="10" customHeight="1" x14ac:dyDescent="0.4">
      <c r="A3" s="40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I3" s="11"/>
      <c r="J3" s="10" t="s">
        <v>52</v>
      </c>
      <c r="K3" s="14" t="s">
        <v>59</v>
      </c>
    </row>
    <row r="4" spans="1:11" ht="15" customHeight="1" x14ac:dyDescent="0.4">
      <c r="A4" s="40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I4" s="11"/>
      <c r="J4" s="10" t="s">
        <v>98</v>
      </c>
      <c r="K4" s="14" t="s">
        <v>103</v>
      </c>
    </row>
    <row r="5" spans="1:11" ht="14" customHeight="1" thickBot="1" x14ac:dyDescent="0.45">
      <c r="A5" s="48" t="s">
        <v>127</v>
      </c>
      <c r="B5" s="49"/>
      <c r="C5" s="49"/>
      <c r="D5" s="49"/>
      <c r="E5" s="49"/>
      <c r="F5" s="49"/>
      <c r="G5" s="49"/>
      <c r="H5" s="49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30" t="s">
        <v>131</v>
      </c>
      <c r="B7" s="87" t="s">
        <v>132</v>
      </c>
      <c r="C7" s="56"/>
      <c r="D7" s="88"/>
      <c r="E7" s="85"/>
      <c r="F7" s="86" t="s">
        <v>133</v>
      </c>
      <c r="G7" s="89" t="str">
        <f>K7</f>
        <v>PV/NEK/BOC/202607/014</v>
      </c>
      <c r="H7" s="90"/>
      <c r="I7" s="11"/>
      <c r="J7" s="15" t="s">
        <v>134</v>
      </c>
      <c r="K7" s="19" t="str">
        <f>IF(OR($K$3="",$K$4="",$K$5="",G9=""),"","PV/"&amp;$K$3&amp;"/"&amp;$K$4&amp;"/"&amp;TEXT(G9,"yyyymm")&amp;"/"&amp;TEXT($K$5,"000"))</f>
        <v>PV/NEK/BOC/202607/014</v>
      </c>
    </row>
    <row r="8" spans="1:11" ht="13" customHeight="1" x14ac:dyDescent="0.4">
      <c r="A8" s="11"/>
      <c r="B8" s="11"/>
      <c r="C8" s="11"/>
      <c r="D8" s="11"/>
      <c r="E8" s="11"/>
      <c r="F8" s="86" t="s">
        <v>207</v>
      </c>
      <c r="G8" s="91" t="s">
        <v>135</v>
      </c>
      <c r="H8" s="92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86" t="s">
        <v>137</v>
      </c>
      <c r="G9" s="57">
        <v>46228</v>
      </c>
      <c r="H9" s="93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54" t="s">
        <v>138</v>
      </c>
      <c r="B11" s="46"/>
      <c r="C11" s="46"/>
      <c r="D11" s="46"/>
      <c r="E11" s="45" t="str">
        <f>$K$9</f>
        <v>MYR</v>
      </c>
      <c r="F11" s="46"/>
      <c r="G11" s="45" t="s">
        <v>139</v>
      </c>
      <c r="H11" s="47"/>
      <c r="I11" s="11"/>
      <c r="J11" s="11"/>
      <c r="K11" s="11"/>
    </row>
    <row r="12" spans="1:11" ht="12" customHeight="1" x14ac:dyDescent="0.4">
      <c r="A12" s="38" t="s">
        <v>140</v>
      </c>
      <c r="B12" s="39"/>
      <c r="C12" s="39"/>
      <c r="D12" s="39"/>
      <c r="E12" s="42">
        <v>2793</v>
      </c>
      <c r="F12" s="39"/>
      <c r="G12" s="43"/>
      <c r="H12" s="44"/>
      <c r="I12" s="11"/>
      <c r="J12" s="11"/>
      <c r="K12" s="11"/>
    </row>
    <row r="13" spans="1:11" ht="12" customHeight="1" x14ac:dyDescent="0.4">
      <c r="A13" s="38"/>
      <c r="B13" s="39"/>
      <c r="C13" s="39"/>
      <c r="D13" s="39"/>
      <c r="E13" s="42"/>
      <c r="F13" s="39"/>
      <c r="G13" s="43"/>
      <c r="H13" s="44"/>
      <c r="I13" s="11"/>
      <c r="J13" s="11"/>
      <c r="K13" s="11"/>
    </row>
    <row r="14" spans="1:11" ht="12" customHeight="1" x14ac:dyDescent="0.4">
      <c r="A14" s="38"/>
      <c r="B14" s="39"/>
      <c r="C14" s="39"/>
      <c r="D14" s="39"/>
      <c r="E14" s="42"/>
      <c r="F14" s="39"/>
      <c r="G14" s="43"/>
      <c r="H14" s="44"/>
      <c r="I14" s="11"/>
      <c r="J14" s="11"/>
      <c r="K14" s="11"/>
    </row>
    <row r="15" spans="1:11" ht="12" customHeight="1" x14ac:dyDescent="0.4">
      <c r="A15" s="38"/>
      <c r="B15" s="39"/>
      <c r="C15" s="39"/>
      <c r="D15" s="39"/>
      <c r="E15" s="42"/>
      <c r="F15" s="39"/>
      <c r="G15" s="43"/>
      <c r="H15" s="44"/>
      <c r="I15" s="11"/>
      <c r="J15" s="11"/>
      <c r="K15" s="11"/>
    </row>
    <row r="16" spans="1:11" ht="12" customHeight="1" x14ac:dyDescent="0.4">
      <c r="A16" s="38"/>
      <c r="B16" s="39"/>
      <c r="C16" s="39"/>
      <c r="D16" s="39"/>
      <c r="E16" s="42"/>
      <c r="F16" s="39"/>
      <c r="G16" s="43"/>
      <c r="H16" s="44"/>
      <c r="I16" s="11"/>
      <c r="J16" s="11"/>
      <c r="K16" s="11"/>
    </row>
    <row r="17" spans="1:11" ht="12" customHeight="1" x14ac:dyDescent="0.4">
      <c r="A17" s="38"/>
      <c r="B17" s="39"/>
      <c r="C17" s="39"/>
      <c r="D17" s="39"/>
      <c r="E17" s="42"/>
      <c r="F17" s="39"/>
      <c r="G17" s="43"/>
      <c r="H17" s="44"/>
      <c r="I17" s="11"/>
      <c r="J17" s="11"/>
      <c r="K17" s="11"/>
    </row>
    <row r="18" spans="1:11" ht="13" customHeight="1" thickBot="1" x14ac:dyDescent="0.45">
      <c r="A18" s="59" t="s">
        <v>141</v>
      </c>
      <c r="B18" s="37"/>
      <c r="C18" s="37"/>
      <c r="D18" s="37"/>
      <c r="E18" s="36">
        <f>SUM(E12:F17)</f>
        <v>2793</v>
      </c>
      <c r="F18" s="37"/>
      <c r="G18" s="37"/>
      <c r="H18" s="55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81" t="str">
        <f>IF($K$9="","",IFERROR(INDEX(_Currency!$B$3:$B$20,MATCH($K$9,_Currency!$A$3:$A$20,0)),$K$9)&amp;" :")</f>
        <v>Ringgit Malaysia :</v>
      </c>
      <c r="B20" s="82"/>
      <c r="C20" s="83"/>
      <c r="D20" s="83"/>
      <c r="E20" s="83"/>
      <c r="F20" s="83"/>
      <c r="G20" s="83"/>
      <c r="H20" s="84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32" t="s">
        <v>143</v>
      </c>
      <c r="B23" s="51"/>
      <c r="C23" s="52"/>
      <c r="D23" s="11"/>
      <c r="E23" s="33" t="s">
        <v>208</v>
      </c>
      <c r="F23" s="53"/>
      <c r="G23" s="53"/>
      <c r="H23" s="53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32" t="s">
        <v>209</v>
      </c>
      <c r="B25" s="51"/>
      <c r="C25" s="52"/>
      <c r="D25" s="11"/>
      <c r="E25" s="31" t="s">
        <v>208</v>
      </c>
      <c r="F25" s="60"/>
      <c r="G25" s="60"/>
      <c r="H25" s="60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32" t="s">
        <v>144</v>
      </c>
      <c r="B27" s="51"/>
      <c r="C27" s="52"/>
      <c r="D27" s="11"/>
      <c r="E27" s="31" t="s">
        <v>208</v>
      </c>
      <c r="F27" s="60"/>
      <c r="G27" s="60"/>
      <c r="H27" s="60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58"/>
      <c r="B30" s="35"/>
      <c r="C30" s="35"/>
      <c r="D30" s="35"/>
      <c r="E30" s="35"/>
      <c r="F30" s="35"/>
      <c r="G30" s="35"/>
      <c r="H30" s="35"/>
      <c r="I30" s="11"/>
      <c r="J30" s="11"/>
      <c r="K30" s="11"/>
    </row>
  </sheetData>
  <mergeCells count="42">
    <mergeCell ref="G9:H9"/>
    <mergeCell ref="A30:H30"/>
    <mergeCell ref="B25:C25"/>
    <mergeCell ref="A16:D16"/>
    <mergeCell ref="A18:D18"/>
    <mergeCell ref="E16:F16"/>
    <mergeCell ref="G16:H16"/>
    <mergeCell ref="F25:H25"/>
    <mergeCell ref="F27:H27"/>
    <mergeCell ref="B20:H20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</mergeCells>
  <dataValidations count="2">
    <dataValidation type="list" sqref="K4" xr:uid="{00000000-0002-0000-0300-000001000000}">
      <formula1>"BOC,BOCOM,MBB,OCBC,TBC,UOB"</formula1>
    </dataValidation>
    <dataValidation type="list" allowBlank="1" showInputMessage="1" showErrorMessage="1" sqref="G8" xr:uid="{FD09BFF1-BCFD-453E-903F-2DC48E0C55F9}">
      <formula1>"IBG,Cheque,TT"</formula1>
    </dataValidation>
  </dataValidations>
  <printOptions horizontalCentered="1"/>
  <pageMargins left="0.35" right="0.35" top="0.3" bottom="0.3" header="0" footer="0"/>
  <pageSetup paperSize="9" scale="9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6.6328125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I1" s="11"/>
      <c r="J1" s="12" t="s">
        <v>126</v>
      </c>
      <c r="K1" s="13"/>
    </row>
    <row r="2" spans="1:11" ht="10" customHeight="1" x14ac:dyDescent="0.4">
      <c r="A2" s="40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I2" s="11"/>
      <c r="J2" s="34" t="s">
        <v>128</v>
      </c>
      <c r="K2" s="35"/>
    </row>
    <row r="3" spans="1:11" ht="10" customHeight="1" x14ac:dyDescent="0.4">
      <c r="A3" s="40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I3" s="11"/>
      <c r="J3" s="10" t="s">
        <v>52</v>
      </c>
      <c r="K3" s="14" t="s">
        <v>59</v>
      </c>
    </row>
    <row r="4" spans="1:11" ht="15" customHeight="1" x14ac:dyDescent="0.4">
      <c r="A4" s="40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I4" s="11"/>
      <c r="J4" s="10" t="s">
        <v>98</v>
      </c>
      <c r="K4" s="14" t="s">
        <v>103</v>
      </c>
    </row>
    <row r="5" spans="1:11" ht="14" customHeight="1" thickBot="1" x14ac:dyDescent="0.45">
      <c r="A5" s="48" t="s">
        <v>145</v>
      </c>
      <c r="B5" s="49"/>
      <c r="C5" s="49"/>
      <c r="D5" s="49"/>
      <c r="E5" s="49"/>
      <c r="F5" s="49"/>
      <c r="G5" s="49"/>
      <c r="H5" s="49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30" t="s">
        <v>146</v>
      </c>
      <c r="B7" s="87" t="s">
        <v>132</v>
      </c>
      <c r="C7" s="56"/>
      <c r="D7" s="88"/>
      <c r="E7" s="85"/>
      <c r="F7" s="86" t="s">
        <v>147</v>
      </c>
      <c r="G7" s="89" t="str">
        <f>K7</f>
        <v>RV/NEK/BOC/202607/014</v>
      </c>
      <c r="H7" s="90"/>
      <c r="I7" s="11"/>
      <c r="J7" s="15" t="s">
        <v>134</v>
      </c>
      <c r="K7" s="19" t="str">
        <f>IF(OR($K$3="",$K$4="",$K$5="",G9=""),"","RV/"&amp;$K$3&amp;"/"&amp;$K$4&amp;"/"&amp;TEXT(G9,"yyyymm")&amp;"/"&amp;TEXT($K$5,"000"))</f>
        <v>RV/NEK/BOC/202607/014</v>
      </c>
    </row>
    <row r="8" spans="1:11" ht="13" customHeight="1" x14ac:dyDescent="0.4">
      <c r="A8" s="11"/>
      <c r="B8" s="11"/>
      <c r="C8" s="11"/>
      <c r="D8" s="11"/>
      <c r="E8" s="11"/>
      <c r="F8" s="86" t="s">
        <v>207</v>
      </c>
      <c r="G8" s="91" t="s">
        <v>135</v>
      </c>
      <c r="H8" s="92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86" t="s">
        <v>137</v>
      </c>
      <c r="G9" s="57">
        <v>46228</v>
      </c>
      <c r="H9" s="93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54" t="s">
        <v>138</v>
      </c>
      <c r="B11" s="46"/>
      <c r="C11" s="46"/>
      <c r="D11" s="46"/>
      <c r="E11" s="45" t="str">
        <f>$K$9</f>
        <v>MYR</v>
      </c>
      <c r="F11" s="46"/>
      <c r="G11" s="45" t="s">
        <v>139</v>
      </c>
      <c r="H11" s="47"/>
      <c r="I11" s="11"/>
      <c r="J11" s="11"/>
      <c r="K11" s="11"/>
    </row>
    <row r="12" spans="1:11" ht="12" customHeight="1" x14ac:dyDescent="0.4">
      <c r="A12" s="38" t="s">
        <v>140</v>
      </c>
      <c r="B12" s="39"/>
      <c r="C12" s="39"/>
      <c r="D12" s="39"/>
      <c r="E12" s="42">
        <v>2793</v>
      </c>
      <c r="F12" s="39"/>
      <c r="G12" s="43"/>
      <c r="H12" s="44"/>
      <c r="I12" s="11"/>
      <c r="J12" s="11"/>
      <c r="K12" s="11"/>
    </row>
    <row r="13" spans="1:11" ht="12" customHeight="1" x14ac:dyDescent="0.4">
      <c r="A13" s="38"/>
      <c r="B13" s="39"/>
      <c r="C13" s="39"/>
      <c r="D13" s="39"/>
      <c r="E13" s="42"/>
      <c r="F13" s="39"/>
      <c r="G13" s="43"/>
      <c r="H13" s="44"/>
      <c r="I13" s="11"/>
      <c r="J13" s="11"/>
      <c r="K13" s="11"/>
    </row>
    <row r="14" spans="1:11" ht="12" customHeight="1" x14ac:dyDescent="0.4">
      <c r="A14" s="38"/>
      <c r="B14" s="39"/>
      <c r="C14" s="39"/>
      <c r="D14" s="39"/>
      <c r="E14" s="42"/>
      <c r="F14" s="39"/>
      <c r="G14" s="43"/>
      <c r="H14" s="44"/>
      <c r="I14" s="11"/>
      <c r="J14" s="11"/>
      <c r="K14" s="11"/>
    </row>
    <row r="15" spans="1:11" ht="12" customHeight="1" x14ac:dyDescent="0.4">
      <c r="A15" s="38"/>
      <c r="B15" s="39"/>
      <c r="C15" s="39"/>
      <c r="D15" s="39"/>
      <c r="E15" s="42"/>
      <c r="F15" s="39"/>
      <c r="G15" s="43"/>
      <c r="H15" s="44"/>
      <c r="I15" s="11"/>
      <c r="J15" s="11"/>
      <c r="K15" s="11"/>
    </row>
    <row r="16" spans="1:11" ht="12" customHeight="1" x14ac:dyDescent="0.4">
      <c r="A16" s="38"/>
      <c r="B16" s="39"/>
      <c r="C16" s="39"/>
      <c r="D16" s="39"/>
      <c r="E16" s="42"/>
      <c r="F16" s="39"/>
      <c r="G16" s="43"/>
      <c r="H16" s="44"/>
      <c r="I16" s="11"/>
      <c r="J16" s="11"/>
      <c r="K16" s="11"/>
    </row>
    <row r="17" spans="1:11" ht="12" customHeight="1" x14ac:dyDescent="0.4">
      <c r="A17" s="38"/>
      <c r="B17" s="39"/>
      <c r="C17" s="39"/>
      <c r="D17" s="39"/>
      <c r="E17" s="42"/>
      <c r="F17" s="39"/>
      <c r="G17" s="43"/>
      <c r="H17" s="44"/>
      <c r="I17" s="11"/>
      <c r="J17" s="11"/>
      <c r="K17" s="11"/>
    </row>
    <row r="18" spans="1:11" ht="13" customHeight="1" thickBot="1" x14ac:dyDescent="0.45">
      <c r="A18" s="59" t="s">
        <v>141</v>
      </c>
      <c r="B18" s="37"/>
      <c r="C18" s="37"/>
      <c r="D18" s="37"/>
      <c r="E18" s="36">
        <f>SUM(E12:F17)</f>
        <v>2793</v>
      </c>
      <c r="F18" s="37"/>
      <c r="G18" s="37"/>
      <c r="H18" s="55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81" t="str">
        <f>IF($K$9="","",IFERROR(INDEX(_Currency!$B$3:$B$20,MATCH($K$9,_Currency!$A$3:$A$20,0)),$K$9)&amp;" :")</f>
        <v>Ringgit Malaysia :</v>
      </c>
      <c r="B20" s="82"/>
      <c r="C20" s="83"/>
      <c r="D20" s="83"/>
      <c r="E20" s="83"/>
      <c r="F20" s="83"/>
      <c r="G20" s="83"/>
      <c r="H20" s="84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32" t="s">
        <v>143</v>
      </c>
      <c r="B23" s="51"/>
      <c r="C23" s="52"/>
      <c r="D23" s="11"/>
      <c r="E23" s="33" t="s">
        <v>208</v>
      </c>
      <c r="F23" s="53"/>
      <c r="G23" s="53"/>
      <c r="H23" s="53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32" t="s">
        <v>209</v>
      </c>
      <c r="B25" s="51"/>
      <c r="C25" s="52"/>
      <c r="D25" s="11"/>
      <c r="E25" s="31" t="s">
        <v>208</v>
      </c>
      <c r="F25" s="60"/>
      <c r="G25" s="60"/>
      <c r="H25" s="60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32" t="s">
        <v>144</v>
      </c>
      <c r="B27" s="51"/>
      <c r="C27" s="52"/>
      <c r="D27" s="11"/>
      <c r="E27" s="31" t="s">
        <v>208</v>
      </c>
      <c r="F27" s="60"/>
      <c r="G27" s="60"/>
      <c r="H27" s="60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58"/>
      <c r="B30" s="35"/>
      <c r="C30" s="35"/>
      <c r="D30" s="35"/>
      <c r="E30" s="35"/>
      <c r="F30" s="35"/>
      <c r="G30" s="35"/>
      <c r="H30" s="35"/>
      <c r="I30" s="11"/>
      <c r="J30" s="11"/>
      <c r="K30" s="11"/>
    </row>
  </sheetData>
  <mergeCells count="42">
    <mergeCell ref="G9:H9"/>
    <mergeCell ref="A30:H30"/>
    <mergeCell ref="B25:C25"/>
    <mergeCell ref="A16:D16"/>
    <mergeCell ref="A18:D18"/>
    <mergeCell ref="E16:F16"/>
    <mergeCell ref="G16:H16"/>
    <mergeCell ref="F25:H25"/>
    <mergeCell ref="F27:H27"/>
    <mergeCell ref="B20:H20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</mergeCells>
  <dataValidations count="2">
    <dataValidation type="list" sqref="K4" xr:uid="{00000000-0002-0000-0400-000001000000}">
      <formula1>"BOC,BOCOM,MBB,OCBC,TBC,UOB"</formula1>
    </dataValidation>
    <dataValidation type="list" allowBlank="1" showInputMessage="1" showErrorMessage="1" sqref="G8" xr:uid="{7B3847F5-DF2D-4DCE-9E94-D0E2696626CE}">
      <formula1>"IBG,Cheque,TT"</formula1>
    </dataValidation>
  </dataValidations>
  <printOptions horizontalCentered="1"/>
  <pageMargins left="0.35" right="0.35" top="0.3" bottom="0.3" header="0" footer="0"/>
  <pageSetup paperSize="9" scale="9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0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7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I1" s="11"/>
      <c r="J1" s="12" t="s">
        <v>126</v>
      </c>
      <c r="K1" s="13"/>
    </row>
    <row r="2" spans="1:11" ht="19" customHeight="1" x14ac:dyDescent="0.4">
      <c r="A2" s="7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I2" s="11"/>
      <c r="J2" s="34" t="s">
        <v>128</v>
      </c>
      <c r="K2" s="35"/>
    </row>
    <row r="3" spans="1:11" ht="19" customHeight="1" x14ac:dyDescent="0.4">
      <c r="A3" s="7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I3" s="11"/>
      <c r="J3" s="10" t="s">
        <v>52</v>
      </c>
      <c r="K3" s="14" t="s">
        <v>59</v>
      </c>
    </row>
    <row r="4" spans="1:11" ht="36" customHeight="1" x14ac:dyDescent="0.4">
      <c r="A4" s="72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I4" s="11"/>
      <c r="J4" s="10" t="s">
        <v>98</v>
      </c>
      <c r="K4" s="14" t="s">
        <v>108</v>
      </c>
    </row>
    <row r="5" spans="1:11" ht="26" customHeight="1" thickBot="1" x14ac:dyDescent="0.45">
      <c r="A5" s="73" t="s">
        <v>148</v>
      </c>
      <c r="B5" s="49"/>
      <c r="C5" s="49"/>
      <c r="D5" s="49"/>
      <c r="E5" s="49"/>
      <c r="F5" s="49"/>
      <c r="G5" s="49"/>
      <c r="H5" s="49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Malayan Banking Berhad (Maybank)</v>
      </c>
    </row>
    <row r="7" spans="1:11" ht="22" customHeight="1" x14ac:dyDescent="0.4">
      <c r="A7" s="17" t="s">
        <v>149</v>
      </c>
      <c r="B7" s="11"/>
      <c r="C7" s="11"/>
      <c r="D7" s="11"/>
      <c r="E7" s="11"/>
      <c r="F7" s="11"/>
      <c r="G7" s="18" t="s">
        <v>150</v>
      </c>
      <c r="H7" s="21" t="str">
        <f>K7</f>
        <v>INV/NEK/MBB/202607/014</v>
      </c>
      <c r="I7" s="11"/>
      <c r="J7" s="15" t="s">
        <v>134</v>
      </c>
      <c r="K7" s="19" t="str">
        <f>IF(OR($K$3="",$K$4="",$K$5="",H8=""),"","INV/"&amp;$K$3&amp;"/"&amp;$K$4&amp;"/"&amp;TEXT(H8,"yyyymm")&amp;"/"&amp;TEXT($K$5,"000"))</f>
        <v>INV/NEK/MBB/202607/014</v>
      </c>
    </row>
    <row r="8" spans="1:11" ht="22" customHeight="1" x14ac:dyDescent="0.4">
      <c r="A8" s="61" t="s">
        <v>132</v>
      </c>
      <c r="B8" s="35"/>
      <c r="C8" s="35"/>
      <c r="D8" s="35"/>
      <c r="E8" s="35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65" t="s">
        <v>151</v>
      </c>
      <c r="B9" s="35"/>
      <c r="C9" s="35"/>
      <c r="D9" s="35"/>
      <c r="E9" s="35"/>
      <c r="F9" s="11"/>
      <c r="G9" s="11"/>
      <c r="H9" s="11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63" t="s">
        <v>152</v>
      </c>
      <c r="B11" s="64"/>
      <c r="C11" s="63" t="s">
        <v>153</v>
      </c>
      <c r="D11" s="64"/>
      <c r="E11" s="64"/>
      <c r="F11" s="64"/>
      <c r="G11" s="63" t="str">
        <f>IF($K$9="","AMOUNT","AMOUNT ("&amp;$K$9&amp;")")</f>
        <v>AMOUNT (MYR)</v>
      </c>
      <c r="H11" s="64"/>
      <c r="I11" s="11"/>
      <c r="J11" s="11"/>
      <c r="K11" s="11"/>
    </row>
    <row r="12" spans="1:11" ht="19" customHeight="1" x14ac:dyDescent="0.4">
      <c r="A12" s="62">
        <v>1</v>
      </c>
      <c r="B12" s="35"/>
      <c r="C12" s="61" t="s">
        <v>154</v>
      </c>
      <c r="D12" s="35"/>
      <c r="E12" s="35"/>
      <c r="F12" s="35"/>
      <c r="G12" s="66">
        <v>9000</v>
      </c>
      <c r="H12" s="35"/>
      <c r="I12" s="11"/>
      <c r="J12" s="11"/>
      <c r="K12" s="11"/>
    </row>
    <row r="13" spans="1:11" ht="19" customHeight="1" x14ac:dyDescent="0.4">
      <c r="A13" s="62"/>
      <c r="B13" s="35"/>
      <c r="C13" s="61"/>
      <c r="D13" s="35"/>
      <c r="E13" s="35"/>
      <c r="F13" s="35"/>
      <c r="G13" s="66"/>
      <c r="H13" s="35"/>
      <c r="I13" s="11"/>
      <c r="J13" s="11"/>
      <c r="K13" s="11"/>
    </row>
    <row r="14" spans="1:11" ht="19" customHeight="1" x14ac:dyDescent="0.4">
      <c r="A14" s="62"/>
      <c r="B14" s="35"/>
      <c r="C14" s="61"/>
      <c r="D14" s="35"/>
      <c r="E14" s="35"/>
      <c r="F14" s="35"/>
      <c r="G14" s="66"/>
      <c r="H14" s="35"/>
      <c r="I14" s="11"/>
      <c r="J14" s="11"/>
      <c r="K14" s="11"/>
    </row>
    <row r="15" spans="1:11" ht="19" customHeight="1" x14ac:dyDescent="0.4">
      <c r="A15" s="62"/>
      <c r="B15" s="35"/>
      <c r="C15" s="61"/>
      <c r="D15" s="35"/>
      <c r="E15" s="35"/>
      <c r="F15" s="35"/>
      <c r="G15" s="66"/>
      <c r="H15" s="35"/>
      <c r="I15" s="11"/>
      <c r="J15" s="11"/>
      <c r="K15" s="11"/>
    </row>
    <row r="16" spans="1:11" ht="19" customHeight="1" x14ac:dyDescent="0.4">
      <c r="A16" s="62"/>
      <c r="B16" s="35"/>
      <c r="C16" s="61"/>
      <c r="D16" s="35"/>
      <c r="E16" s="35"/>
      <c r="F16" s="35"/>
      <c r="G16" s="66"/>
      <c r="H16" s="35"/>
      <c r="I16" s="11"/>
      <c r="J16" s="11"/>
      <c r="K16" s="11"/>
    </row>
    <row r="17" spans="1:11" ht="19" customHeight="1" x14ac:dyDescent="0.4">
      <c r="A17" s="62"/>
      <c r="B17" s="35"/>
      <c r="C17" s="61"/>
      <c r="D17" s="35"/>
      <c r="E17" s="35"/>
      <c r="F17" s="35"/>
      <c r="G17" s="66"/>
      <c r="H17" s="35"/>
      <c r="I17" s="11"/>
      <c r="J17" s="11"/>
      <c r="K17" s="11"/>
    </row>
    <row r="18" spans="1:11" ht="22" customHeight="1" x14ac:dyDescent="0.4">
      <c r="A18" s="69" t="s">
        <v>155</v>
      </c>
      <c r="B18" s="35"/>
      <c r="C18" s="35"/>
      <c r="D18" s="35"/>
      <c r="E18" s="35"/>
      <c r="F18" s="35"/>
      <c r="G18" s="67">
        <f>SUM(G12:H17)</f>
        <v>9000</v>
      </c>
      <c r="H18" s="35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71" t="s">
        <v>142</v>
      </c>
      <c r="C20" s="35"/>
      <c r="D20" s="35"/>
      <c r="E20" s="35"/>
      <c r="F20" s="35"/>
      <c r="G20" s="35"/>
      <c r="H20" s="35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68" t="s">
        <v>156</v>
      </c>
      <c r="B22" s="35"/>
      <c r="C22" s="35"/>
      <c r="D22" s="35"/>
      <c r="E22" s="35"/>
      <c r="F22" s="35"/>
      <c r="G22" s="35"/>
      <c r="H22" s="35"/>
      <c r="I22" s="11"/>
      <c r="J22" s="11"/>
      <c r="K22" s="11"/>
    </row>
    <row r="23" spans="1:11" ht="36" customHeight="1" x14ac:dyDescent="0.4">
      <c r="A23" s="68" t="str">
        <f>IF($K$3="","","Bank : "&amp;IFERROR(INDEX(_BankAccounts!$D$3:$D$100,MATCH($K$3&amp;"|"&amp;$K$4,_BankAccounts!$A$3:$A$100,0)),""))</f>
        <v>Bank : Malayan Banking Berhad (Maybank)</v>
      </c>
      <c r="B23" s="35"/>
      <c r="C23" s="35"/>
      <c r="D23" s="35"/>
      <c r="E23" s="35"/>
      <c r="F23" s="35"/>
      <c r="G23" s="35"/>
      <c r="H23" s="35"/>
      <c r="I23" s="11"/>
      <c r="J23" s="11"/>
      <c r="K23" s="11"/>
    </row>
    <row r="24" spans="1:11" ht="17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58" t="s">
        <v>157</v>
      </c>
      <c r="B25" s="35"/>
      <c r="C25" s="35"/>
      <c r="D25" s="35"/>
      <c r="E25" s="35"/>
      <c r="F25" s="35"/>
      <c r="G25" s="35"/>
      <c r="H25" s="35"/>
      <c r="I25" s="11"/>
      <c r="J25" s="11"/>
      <c r="K25" s="11"/>
    </row>
    <row r="26" spans="1:11" ht="17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5"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5:H5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J2:K2"/>
    <mergeCell ref="C12:F12"/>
    <mergeCell ref="A13:B13"/>
    <mergeCell ref="C11:F11"/>
    <mergeCell ref="A9:E9"/>
  </mergeCells>
  <dataValidations count="1">
    <dataValidation type="list" sqref="K4" xr:uid="{00000000-0002-0000-0500-000001000000}">
      <formula1>"BOC,BOCOM,MBB,OCBC,TBC,UOB"</formula1>
    </dataValidation>
  </dataValidations>
  <printOptions horizontalCentered="1"/>
  <pageMargins left="0.35" right="0.35" top="0.3" bottom="0.3" header="0" footer="0"/>
  <pageSetup paperSize="9" scale="96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7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I1" s="11"/>
      <c r="J1" s="12" t="s">
        <v>126</v>
      </c>
      <c r="K1" s="13"/>
    </row>
    <row r="2" spans="1:11" ht="19" customHeight="1" x14ac:dyDescent="0.4">
      <c r="A2" s="7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I2" s="11"/>
      <c r="J2" s="34" t="s">
        <v>128</v>
      </c>
      <c r="K2" s="35"/>
    </row>
    <row r="3" spans="1:11" ht="19" customHeight="1" x14ac:dyDescent="0.4">
      <c r="A3" s="7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I3" s="11"/>
      <c r="J3" s="10" t="s">
        <v>52</v>
      </c>
      <c r="K3" s="14" t="s">
        <v>59</v>
      </c>
    </row>
    <row r="4" spans="1:11" ht="36" customHeight="1" x14ac:dyDescent="0.4">
      <c r="A4" s="72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I4" s="11"/>
      <c r="J4" s="10" t="s">
        <v>98</v>
      </c>
      <c r="K4" s="14" t="s">
        <v>103</v>
      </c>
    </row>
    <row r="5" spans="1:11" ht="26" customHeight="1" thickBot="1" x14ac:dyDescent="0.45">
      <c r="A5" s="73" t="s">
        <v>158</v>
      </c>
      <c r="B5" s="49"/>
      <c r="C5" s="49"/>
      <c r="D5" s="49"/>
      <c r="E5" s="49"/>
      <c r="F5" s="49"/>
      <c r="G5" s="49"/>
      <c r="H5" s="49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159</v>
      </c>
      <c r="B7" s="11"/>
      <c r="C7" s="11"/>
      <c r="D7" s="11"/>
      <c r="E7" s="11"/>
      <c r="F7" s="11"/>
      <c r="G7" s="18" t="s">
        <v>160</v>
      </c>
      <c r="H7" s="21" t="str">
        <f>K7</f>
        <v>OR/NEK/BOC/202607/014</v>
      </c>
      <c r="I7" s="11"/>
      <c r="J7" s="15" t="s">
        <v>134</v>
      </c>
      <c r="K7" s="19" t="str">
        <f>IF(OR($K$3="",$K$4="",$K$5="",H8=""),"","OR/"&amp;$K$3&amp;"/"&amp;$K$4&amp;"/"&amp;TEXT(H8,"yyyymm")&amp;"/"&amp;TEXT($K$5,"000"))</f>
        <v>OR/NEK/BOC/202607/014</v>
      </c>
    </row>
    <row r="8" spans="1:11" ht="22" customHeight="1" x14ac:dyDescent="0.4">
      <c r="A8" s="61" t="s">
        <v>132</v>
      </c>
      <c r="B8" s="35"/>
      <c r="C8" s="35"/>
      <c r="D8" s="35"/>
      <c r="E8" s="35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65" t="s">
        <v>151</v>
      </c>
      <c r="B9" s="35"/>
      <c r="C9" s="35"/>
      <c r="D9" s="35"/>
      <c r="E9" s="35"/>
      <c r="F9" s="11"/>
      <c r="G9" s="11"/>
      <c r="H9" s="11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63" t="s">
        <v>152</v>
      </c>
      <c r="B11" s="64"/>
      <c r="C11" s="63" t="s">
        <v>153</v>
      </c>
      <c r="D11" s="64"/>
      <c r="E11" s="64"/>
      <c r="F11" s="64"/>
      <c r="G11" s="63" t="str">
        <f>IF($K$9="","AMOUNT","AMOUNT ("&amp;$K$9&amp;")")</f>
        <v>AMOUNT (MYR)</v>
      </c>
      <c r="H11" s="64"/>
      <c r="I11" s="11"/>
      <c r="J11" s="11"/>
      <c r="K11" s="11"/>
    </row>
    <row r="12" spans="1:11" ht="19" customHeight="1" x14ac:dyDescent="0.4">
      <c r="A12" s="62">
        <v>1</v>
      </c>
      <c r="B12" s="35"/>
      <c r="C12" s="61" t="s">
        <v>154</v>
      </c>
      <c r="D12" s="35"/>
      <c r="E12" s="35"/>
      <c r="F12" s="35"/>
      <c r="G12" s="66">
        <v>9000</v>
      </c>
      <c r="H12" s="35"/>
      <c r="I12" s="11"/>
      <c r="J12" s="11"/>
      <c r="K12" s="11"/>
    </row>
    <row r="13" spans="1:11" ht="19" customHeight="1" x14ac:dyDescent="0.4">
      <c r="A13" s="62"/>
      <c r="B13" s="35"/>
      <c r="C13" s="61"/>
      <c r="D13" s="35"/>
      <c r="E13" s="35"/>
      <c r="F13" s="35"/>
      <c r="G13" s="66"/>
      <c r="H13" s="35"/>
      <c r="I13" s="11"/>
      <c r="J13" s="11"/>
      <c r="K13" s="11"/>
    </row>
    <row r="14" spans="1:11" ht="19" customHeight="1" x14ac:dyDescent="0.4">
      <c r="A14" s="62"/>
      <c r="B14" s="35"/>
      <c r="C14" s="61"/>
      <c r="D14" s="35"/>
      <c r="E14" s="35"/>
      <c r="F14" s="35"/>
      <c r="G14" s="66"/>
      <c r="H14" s="35"/>
      <c r="I14" s="11"/>
      <c r="J14" s="11"/>
      <c r="K14" s="11"/>
    </row>
    <row r="15" spans="1:11" ht="19" customHeight="1" x14ac:dyDescent="0.4">
      <c r="A15" s="62"/>
      <c r="B15" s="35"/>
      <c r="C15" s="61"/>
      <c r="D15" s="35"/>
      <c r="E15" s="35"/>
      <c r="F15" s="35"/>
      <c r="G15" s="66"/>
      <c r="H15" s="35"/>
      <c r="I15" s="11"/>
      <c r="J15" s="11"/>
      <c r="K15" s="11"/>
    </row>
    <row r="16" spans="1:11" ht="19" customHeight="1" x14ac:dyDescent="0.4">
      <c r="A16" s="62"/>
      <c r="B16" s="35"/>
      <c r="C16" s="61"/>
      <c r="D16" s="35"/>
      <c r="E16" s="35"/>
      <c r="F16" s="35"/>
      <c r="G16" s="66"/>
      <c r="H16" s="35"/>
      <c r="I16" s="11"/>
      <c r="J16" s="11"/>
      <c r="K16" s="11"/>
    </row>
    <row r="17" spans="1:11" ht="19" customHeight="1" x14ac:dyDescent="0.4">
      <c r="A17" s="62"/>
      <c r="B17" s="35"/>
      <c r="C17" s="61"/>
      <c r="D17" s="35"/>
      <c r="E17" s="35"/>
      <c r="F17" s="35"/>
      <c r="G17" s="66"/>
      <c r="H17" s="35"/>
      <c r="I17" s="11"/>
      <c r="J17" s="11"/>
      <c r="K17" s="11"/>
    </row>
    <row r="18" spans="1:11" ht="22" customHeight="1" x14ac:dyDescent="0.4">
      <c r="A18" s="69" t="s">
        <v>155</v>
      </c>
      <c r="B18" s="35"/>
      <c r="C18" s="35"/>
      <c r="D18" s="35"/>
      <c r="E18" s="35"/>
      <c r="F18" s="35"/>
      <c r="G18" s="67">
        <f>SUM(G12:H17)</f>
        <v>9000</v>
      </c>
      <c r="H18" s="35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71" t="s">
        <v>142</v>
      </c>
      <c r="C20" s="35"/>
      <c r="D20" s="35"/>
      <c r="E20" s="35"/>
      <c r="F20" s="35"/>
      <c r="G20" s="35"/>
      <c r="H20" s="35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161</v>
      </c>
      <c r="B22" s="11"/>
      <c r="C22" s="75" t="s">
        <v>162</v>
      </c>
      <c r="D22" s="35"/>
      <c r="E22" s="35"/>
      <c r="F22" s="35"/>
      <c r="G22" s="11"/>
      <c r="H22" s="11"/>
      <c r="I22" s="11"/>
      <c r="J22" s="11"/>
      <c r="K22" s="11"/>
    </row>
    <row r="23" spans="1:11" ht="36" customHeight="1" x14ac:dyDescent="0.4">
      <c r="A23" s="17" t="s">
        <v>163</v>
      </c>
      <c r="B23" s="11"/>
      <c r="C23" s="76" t="str">
        <f>IFERROR(INDEX(_BankAccounts!$D$3:$D$100,MATCH($K$3&amp;"|"&amp;$K$4,_BankAccounts!$A$3:$A$100,0)),"")</f>
        <v>Bank of China (Malaysia) Berhad</v>
      </c>
      <c r="D23" s="35"/>
      <c r="E23" s="35"/>
      <c r="F23" s="35"/>
      <c r="G23" s="11"/>
      <c r="H23" s="11"/>
      <c r="I23" s="11"/>
      <c r="J23" s="11"/>
      <c r="K23" s="11"/>
    </row>
    <row r="24" spans="1:11" ht="17" x14ac:dyDescent="0.4">
      <c r="A24" s="17" t="s">
        <v>164</v>
      </c>
      <c r="B24" s="11"/>
      <c r="C24" s="75" t="s">
        <v>165</v>
      </c>
      <c r="D24" s="35"/>
      <c r="E24" s="35"/>
      <c r="F24" s="35"/>
      <c r="G24" s="11"/>
      <c r="H24" s="11"/>
      <c r="I24" s="11"/>
      <c r="J24" s="11"/>
      <c r="K24" s="11"/>
    </row>
    <row r="25" spans="1:11" ht="36" customHeight="1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74" t="s">
        <v>166</v>
      </c>
      <c r="B26" s="35"/>
      <c r="C26" s="35"/>
      <c r="D26" s="35"/>
      <c r="E26" s="35"/>
      <c r="F26" s="35"/>
      <c r="G26" s="35"/>
      <c r="H26" s="35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58" t="s">
        <v>157</v>
      </c>
      <c r="B28" s="35"/>
      <c r="C28" s="35"/>
      <c r="D28" s="35"/>
      <c r="E28" s="35"/>
      <c r="F28" s="35"/>
      <c r="G28" s="35"/>
      <c r="H28" s="35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7"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A5:H5"/>
    <mergeCell ref="C24:F24"/>
    <mergeCell ref="G18:H18"/>
    <mergeCell ref="C14:F14"/>
    <mergeCell ref="A12:B12"/>
    <mergeCell ref="C23:F23"/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</mergeCells>
  <dataValidations count="1">
    <dataValidation type="list" sqref="K4" xr:uid="{00000000-0002-0000-0600-000001000000}">
      <formula1>"BOC,BOCOM,MBB,OCBC,TBC,UOB"</formula1>
    </dataValidation>
  </dataValidations>
  <printOptions horizontalCentered="1"/>
  <pageMargins left="0.35" right="0.35" top="0.3" bottom="0.3" header="0" footer="0"/>
  <pageSetup paperSize="9" scale="96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6" customHeight="1" x14ac:dyDescent="0.4">
      <c r="A1" s="7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11"/>
      <c r="I1" s="11"/>
      <c r="J1" s="12" t="s">
        <v>126</v>
      </c>
      <c r="K1" s="13"/>
    </row>
    <row r="2" spans="1:11" ht="19" customHeight="1" x14ac:dyDescent="0.4">
      <c r="A2" s="7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11"/>
      <c r="I2" s="11"/>
      <c r="J2" s="34" t="s">
        <v>128</v>
      </c>
      <c r="K2" s="35"/>
    </row>
    <row r="3" spans="1:11" ht="19" customHeight="1" x14ac:dyDescent="0.4">
      <c r="A3" s="7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11"/>
      <c r="I3" s="11"/>
      <c r="J3" s="10" t="s">
        <v>52</v>
      </c>
      <c r="K3" s="14" t="s">
        <v>59</v>
      </c>
    </row>
    <row r="4" spans="1:11" ht="36" customHeight="1" x14ac:dyDescent="0.4">
      <c r="A4" s="72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11"/>
      <c r="I4" s="11"/>
      <c r="J4" s="10" t="s">
        <v>98</v>
      </c>
      <c r="K4" s="14" t="s">
        <v>103</v>
      </c>
    </row>
    <row r="5" spans="1:11" ht="26" customHeight="1" thickBot="1" x14ac:dyDescent="0.45">
      <c r="A5" s="79" t="s">
        <v>167</v>
      </c>
      <c r="B5" s="80"/>
      <c r="C5" s="80"/>
      <c r="D5" s="80"/>
      <c r="E5" s="80"/>
      <c r="F5" s="80"/>
      <c r="G5" s="80"/>
      <c r="H5" s="80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168</v>
      </c>
      <c r="B7" s="75" t="s">
        <v>169</v>
      </c>
      <c r="C7" s="35"/>
      <c r="D7" s="11"/>
      <c r="E7" s="17" t="s">
        <v>170</v>
      </c>
      <c r="F7" s="75" t="s">
        <v>171</v>
      </c>
      <c r="G7" s="35"/>
      <c r="H7" s="11"/>
      <c r="I7" s="11"/>
      <c r="J7" s="15" t="s">
        <v>134</v>
      </c>
      <c r="K7" s="19" t="str">
        <f>IF(OR($K$3="",$K$4="",$K$5="",$K$9=""),"","SAL/"&amp;$K$3&amp;"/"&amp;$K$4&amp;"/"&amp;TEXT($K$9,"yyyymm")&amp;"/"&amp;TEXT($K$5,"000"))</f>
        <v>SAL/NEK/BOC/202607/014</v>
      </c>
    </row>
    <row r="8" spans="1:11" ht="22" customHeight="1" x14ac:dyDescent="0.4">
      <c r="A8" s="17" t="s">
        <v>172</v>
      </c>
      <c r="B8" s="75" t="s">
        <v>173</v>
      </c>
      <c r="C8" s="35"/>
      <c r="D8" s="11"/>
      <c r="E8" s="17" t="s">
        <v>174</v>
      </c>
      <c r="F8" s="62" t="s">
        <v>63</v>
      </c>
      <c r="G8" s="35"/>
      <c r="H8" s="11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11"/>
      <c r="B9" s="11"/>
      <c r="C9" s="11"/>
      <c r="D9" s="11"/>
      <c r="E9" s="10" t="s">
        <v>175</v>
      </c>
      <c r="F9" s="78" t="str">
        <f>K7</f>
        <v>SAL/NEK/BOC/202607/014</v>
      </c>
      <c r="G9" s="35"/>
      <c r="H9" s="11"/>
      <c r="I9" s="11"/>
      <c r="J9" s="10" t="s">
        <v>176</v>
      </c>
      <c r="K9" s="23">
        <v>46228</v>
      </c>
    </row>
    <row r="10" spans="1:11" ht="17" x14ac:dyDescent="0.4">
      <c r="A10" s="77" t="s">
        <v>177</v>
      </c>
      <c r="B10" s="35"/>
      <c r="C10" s="35"/>
      <c r="D10" s="11"/>
      <c r="E10" s="77" t="s">
        <v>178</v>
      </c>
      <c r="F10" s="35"/>
      <c r="G10" s="35"/>
      <c r="H10" s="11"/>
      <c r="I10" s="11"/>
      <c r="J10" s="11"/>
      <c r="K10" s="11"/>
    </row>
    <row r="11" spans="1:11" ht="22" customHeight="1" x14ac:dyDescent="0.4">
      <c r="A11" s="24" t="s">
        <v>179</v>
      </c>
      <c r="B11" s="24" t="s">
        <v>63</v>
      </c>
      <c r="C11" s="25">
        <v>6500</v>
      </c>
      <c r="D11" s="11"/>
      <c r="E11" s="24" t="s">
        <v>180</v>
      </c>
      <c r="F11" s="24" t="s">
        <v>63</v>
      </c>
      <c r="G11" s="25">
        <v>816</v>
      </c>
      <c r="H11" s="11"/>
      <c r="I11" s="11"/>
      <c r="J11" s="11"/>
      <c r="K11" s="11"/>
    </row>
    <row r="12" spans="1:11" ht="19" customHeight="1" x14ac:dyDescent="0.4">
      <c r="A12" s="24" t="s">
        <v>181</v>
      </c>
      <c r="B12" s="24" t="s">
        <v>63</v>
      </c>
      <c r="C12" s="25">
        <v>300</v>
      </c>
      <c r="D12" s="11"/>
      <c r="E12" s="24" t="s">
        <v>182</v>
      </c>
      <c r="F12" s="24" t="s">
        <v>63</v>
      </c>
      <c r="G12" s="25">
        <v>104.15</v>
      </c>
      <c r="H12" s="11"/>
      <c r="I12" s="11"/>
      <c r="J12" s="11"/>
      <c r="K12" s="11"/>
    </row>
    <row r="13" spans="1:11" ht="19" customHeight="1" x14ac:dyDescent="0.4">
      <c r="A13" s="11"/>
      <c r="B13" s="11"/>
      <c r="C13" s="11"/>
      <c r="D13" s="11"/>
      <c r="E13" s="24" t="s">
        <v>183</v>
      </c>
      <c r="F13" s="24" t="s">
        <v>63</v>
      </c>
      <c r="G13" s="25">
        <v>11.9</v>
      </c>
      <c r="H13" s="11"/>
      <c r="I13" s="11"/>
      <c r="J13" s="11"/>
      <c r="K13" s="11"/>
    </row>
    <row r="14" spans="1:11" ht="19" customHeight="1" x14ac:dyDescent="0.4">
      <c r="A14" s="17" t="s">
        <v>184</v>
      </c>
      <c r="B14" s="17" t="s">
        <v>63</v>
      </c>
      <c r="C14" s="26">
        <f>C11+C12</f>
        <v>6800</v>
      </c>
      <c r="D14" s="11"/>
      <c r="E14" s="17" t="s">
        <v>185</v>
      </c>
      <c r="F14" s="17" t="s">
        <v>63</v>
      </c>
      <c r="G14" s="26">
        <f>SUM(G11:G13)</f>
        <v>932.05</v>
      </c>
      <c r="H14" s="11"/>
      <c r="I14" s="11"/>
      <c r="J14" s="11"/>
      <c r="K14" s="11"/>
    </row>
    <row r="15" spans="1:11" ht="19" customHeight="1" x14ac:dyDescent="0.4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spans="1:11" ht="19" customHeight="1" x14ac:dyDescent="0.4">
      <c r="A16" s="77" t="s">
        <v>186</v>
      </c>
      <c r="B16" s="35"/>
      <c r="C16" s="35"/>
      <c r="D16" s="11"/>
      <c r="E16" s="11"/>
      <c r="F16" s="11"/>
      <c r="G16" s="11"/>
      <c r="H16" s="11"/>
      <c r="I16" s="11"/>
      <c r="J16" s="11"/>
      <c r="K16" s="11"/>
    </row>
    <row r="17" spans="1:11" ht="19" customHeight="1" x14ac:dyDescent="0.4">
      <c r="A17" s="24" t="s">
        <v>187</v>
      </c>
      <c r="B17" s="24" t="s">
        <v>63</v>
      </c>
      <c r="C17" s="25">
        <v>748</v>
      </c>
      <c r="D17" s="11"/>
      <c r="E17" s="11"/>
      <c r="F17" s="11"/>
      <c r="G17" s="11"/>
      <c r="H17" s="11"/>
      <c r="I17" s="11"/>
      <c r="J17" s="11"/>
      <c r="K17" s="11"/>
    </row>
    <row r="18" spans="1:11" ht="22" customHeight="1" x14ac:dyDescent="0.4">
      <c r="A18" s="24" t="s">
        <v>188</v>
      </c>
      <c r="B18" s="24" t="s">
        <v>63</v>
      </c>
      <c r="C18" s="25">
        <v>29.75</v>
      </c>
      <c r="D18" s="11"/>
      <c r="E18" s="11"/>
      <c r="F18" s="11"/>
      <c r="G18" s="11"/>
      <c r="H18" s="11"/>
      <c r="I18" s="11"/>
      <c r="J18" s="11"/>
      <c r="K18" s="11"/>
    </row>
    <row r="19" spans="1:11" ht="17" x14ac:dyDescent="0.4">
      <c r="A19" s="24" t="s">
        <v>189</v>
      </c>
      <c r="B19" s="24" t="s">
        <v>63</v>
      </c>
      <c r="C19" s="25">
        <v>11.9</v>
      </c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24" t="s">
        <v>190</v>
      </c>
      <c r="B20" s="24" t="s">
        <v>63</v>
      </c>
      <c r="C20" s="25">
        <v>44.65</v>
      </c>
      <c r="D20" s="11"/>
      <c r="E20" s="11"/>
      <c r="F20" s="11"/>
      <c r="G20" s="11"/>
      <c r="H20" s="11"/>
      <c r="I20" s="11"/>
      <c r="J20" s="11"/>
      <c r="K20" s="11"/>
    </row>
    <row r="21" spans="1:11" ht="17" x14ac:dyDescent="0.4">
      <c r="A21" s="24" t="s">
        <v>191</v>
      </c>
      <c r="B21" s="24" t="s">
        <v>63</v>
      </c>
      <c r="C21" s="25">
        <v>295.5</v>
      </c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192</v>
      </c>
      <c r="B22" s="17" t="s">
        <v>63</v>
      </c>
      <c r="C22" s="26">
        <f>SUM(C17:C21)</f>
        <v>1129.8</v>
      </c>
      <c r="D22" s="11"/>
      <c r="E22" s="11"/>
      <c r="F22" s="11"/>
      <c r="G22" s="11"/>
      <c r="H22" s="11"/>
      <c r="I22" s="11"/>
      <c r="J22" s="11"/>
      <c r="K22" s="11"/>
    </row>
    <row r="23" spans="1:11" ht="36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ht="17" x14ac:dyDescent="0.4">
      <c r="A24" s="77" t="s">
        <v>193</v>
      </c>
      <c r="B24" s="35"/>
      <c r="C24" s="35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24" t="s">
        <v>184</v>
      </c>
      <c r="B25" s="11" t="s">
        <v>63</v>
      </c>
      <c r="C25" s="27">
        <f>C14</f>
        <v>6800</v>
      </c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24" t="s">
        <v>194</v>
      </c>
      <c r="B26" s="11" t="s">
        <v>63</v>
      </c>
      <c r="C26" s="27">
        <f>C22</f>
        <v>1129.8</v>
      </c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28" t="s">
        <v>195</v>
      </c>
      <c r="B27" s="28" t="s">
        <v>63</v>
      </c>
      <c r="C27" s="29">
        <f>C25-C26</f>
        <v>5670.2</v>
      </c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58" t="s">
        <v>196</v>
      </c>
      <c r="B29" s="35"/>
      <c r="C29" s="35"/>
      <c r="D29" s="35"/>
      <c r="E29" s="35"/>
      <c r="F29" s="35"/>
      <c r="G29" s="35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16">
    <mergeCell ref="A1:G1"/>
    <mergeCell ref="B7:C7"/>
    <mergeCell ref="F9:G9"/>
    <mergeCell ref="A3:G3"/>
    <mergeCell ref="J2:K2"/>
    <mergeCell ref="A4:G4"/>
    <mergeCell ref="A2:G2"/>
    <mergeCell ref="A5:H5"/>
    <mergeCell ref="A29:G29"/>
    <mergeCell ref="B8:C8"/>
    <mergeCell ref="A24:C24"/>
    <mergeCell ref="A16:C16"/>
    <mergeCell ref="F7:G7"/>
    <mergeCell ref="F8:G8"/>
    <mergeCell ref="A10:C10"/>
    <mergeCell ref="E10:G10"/>
  </mergeCells>
  <dataValidations count="1">
    <dataValidation type="list" sqref="K4" xr:uid="{00000000-0002-0000-0700-000001000000}">
      <formula1>"BOC,BOCOM,MBB,OCBC,TBC,UOB"</formula1>
    </dataValidation>
  </dataValidations>
  <printOptions horizontalCentered="1"/>
  <pageMargins left="0.35" right="0.35" top="0.3" bottom="0.3" header="0" footer="0"/>
  <pageSetup paperSize="9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2026-08-04T07:50:42Z</dcterms:modified>
</cp:coreProperties>
</file>