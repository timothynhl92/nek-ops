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 House Style" sheetId="1" state="visible" r:id="rId3"/>
    <sheet name="_EntityData" sheetId="2" state="visible" r:id="rId4"/>
    <sheet name="Payment Voucher" sheetId="3" state="visible" r:id="rId5"/>
  </sheets>
  <definedNames>
    <definedName function="false" hidden="false" localSheetId="2" name="_xlnm.Print_Area" vbProcedure="false">'Payment Voucher'!$A$1:$H$30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<sst xmlns="http://schemas.openxmlformats.org/spreadsheetml/2006/main" count="169" uniqueCount="122">
  <si>
    <t xml:space="preserve">NEK GROUP — DOCUMENT HOUSE STYLE</t>
  </si>
  <si>
    <t xml:space="preserve">The fixed standard for every finance document template. Build all templates to this spec.</t>
  </si>
  <si>
    <t xml:space="preserve">TYPOGRAPHY &amp; NUMBERS</t>
  </si>
  <si>
    <t xml:space="preserve">Font</t>
  </si>
  <si>
    <t xml:space="preserve">Arial throughout. No other font family in any template.</t>
  </si>
  <si>
    <t xml:space="preserve">Currency label</t>
  </si>
  <si>
    <t xml:space="preserve">MYR (never 'RM' or 'Ringgit Malaysia' as a label). 'Ringgit Malaysia' appears only in the amount-in-words line.</t>
  </si>
  <si>
    <t xml:space="preserve">Amount format</t>
  </si>
  <si>
    <t xml:space="preserve">Accounting: #,##0.00 with the MYR column headed accordingly. Two decimals always.</t>
  </si>
  <si>
    <t xml:space="preserve">Date format</t>
  </si>
  <si>
    <t xml:space="preserve">YYYY-MM-DD everywhere. No dd/mm/yy.</t>
  </si>
  <si>
    <t xml:space="preserve">ENTITY &amp; LETTERHEAD</t>
  </si>
  <si>
    <t xml:space="preserve">Driven by</t>
  </si>
  <si>
    <t xml:space="preserve">Entity Code. The letterhead is looked up from the entity code, never typed.</t>
  </si>
  <si>
    <t xml:space="preserve">Header shows</t>
  </si>
  <si>
    <t xml:space="preserve">Full legal name (formal), then Co. Reg. No., office address, and Tel/Fax — all pulled from the _EntityData sheet.</t>
  </si>
  <si>
    <t xml:space="preserve">Source of truth</t>
  </si>
  <si>
    <t xml:space="preserve">_EntityData sheet in this workbook mirrors the Entity register. Update it there, and every template updates.</t>
  </si>
  <si>
    <t xml:space="preserve">REFERENCE NUMBER SCHEME</t>
  </si>
  <si>
    <t xml:space="preserve">Format</t>
  </si>
  <si>
    <t xml:space="preserve">DOCTYPE-ENTITY-YYYYMM-NNN</t>
  </si>
  <si>
    <t xml:space="preserve">Example</t>
  </si>
  <si>
    <t xml:space="preserve">PV-NEK-202607-001</t>
  </si>
  <si>
    <t xml:space="preserve">NNN</t>
  </si>
  <si>
    <t xml:space="preserve">Sequential per document type per entity. Starts at 001. Resets to 001 at the start of each calendar year. YYYYMM records the issue month; the counter itself is annual, not monthly.</t>
  </si>
  <si>
    <t xml:space="preserve">Doc type codes</t>
  </si>
  <si>
    <t xml:space="preserve">PV = Payment Voucher · RV = Receiving Voucher · OR = Official Receipt (tenant-facing) · INV = Invoice · SAL = Salary Slip</t>
  </si>
  <si>
    <t xml:space="preserve">The running number (NNN) is supplied at generation time — by the operator or, once automated, by the script that tracks the last-used number per type/entity/year. The template builds the full reference string automatically from Entity Code + Date + running number.</t>
  </si>
  <si>
    <t xml:space="preserve">DOCUMENT FAMILIES</t>
  </si>
  <si>
    <t xml:space="preserve">Outward-facing</t>
  </si>
  <si>
    <t xml:space="preserve">Invoice (INV), Official Receipt (OR) — issued to tenants / third parties. Clean branded letterhead, no internal signatory block.</t>
  </si>
  <si>
    <t xml:space="preserve">Internal control</t>
  </si>
  <si>
    <t xml:space="preserve">Payment Voucher (PV), Receiving Voucher (RV) — carry the Prepared / Issued / Approved / Received signatory block.</t>
  </si>
  <si>
    <t xml:space="preserve">Employee-facing</t>
  </si>
  <si>
    <t xml:space="preserve">Salary Slip (SAL) — earnings, deductions, employer contributions, net pay. No signatory block.</t>
  </si>
  <si>
    <t xml:space="preserve">'Receiving Voucher' is the internal record of money received. 'Receipt' (OR) is the tenant-facing document. The two are never both called 'receipt'.</t>
  </si>
  <si>
    <t xml:space="preserve">PAGE SETUP (every template)</t>
  </si>
  <si>
    <t xml:space="preserve">Paper / orientation</t>
  </si>
  <si>
    <t xml:space="preserve">A4, Portrait.</t>
  </si>
  <si>
    <t xml:space="preserve">Fit</t>
  </si>
  <si>
    <t xml:space="preserve">Fit to 1 page wide. Print area set to the document body only — control panels and lookup data sit outside it.</t>
  </si>
  <si>
    <t xml:space="preserve">Margins</t>
  </si>
  <si>
    <t xml:space="preserve">Narrow-ish: 0.5" left/right, 0.6" top/bottom.</t>
  </si>
  <si>
    <t xml:space="preserve">FOOTER</t>
  </si>
  <si>
    <t xml:space="preserve">Computer-generated line</t>
  </si>
  <si>
    <t xml:space="preserve">'This is a computer-generated document. No signature is required.' — on outward-facing and salary documents.</t>
  </si>
  <si>
    <t xml:space="preserve">Internal vouchers</t>
  </si>
  <si>
    <t xml:space="preserve">Keep the signatory block instead of the computer-generated line.</t>
  </si>
  <si>
    <t xml:space="preserve">HOW THE TEMPLATE IS FILLED</t>
  </si>
  <si>
    <t xml:space="preserve">Yellow cells</t>
  </si>
  <si>
    <t xml:space="preserve">Operator (or script) input. Everything else is a formula — do not type over it.</t>
  </si>
  <si>
    <t xml:space="preserve">Control panel</t>
  </si>
  <si>
    <t xml:space="preserve">The small yellow panel to the right of each template holds the Entity Code and running number. Fill it and the letterhead + reference number update themselves. It is outside the print area.</t>
  </si>
  <si>
    <t xml:space="preserve">ENTITY LOOKUP — mirror of the Entity register. Templates read from here. Keep in sync.</t>
  </si>
  <si>
    <t xml:space="preserve">Entity Code</t>
  </si>
  <si>
    <t xml:space="preserve">Legal Name</t>
  </si>
  <si>
    <t xml:space="preserve">Co. Reg. No.</t>
  </si>
  <si>
    <t xml:space="preserve">Office Address</t>
  </si>
  <si>
    <t xml:space="preserve">Tel/Fax</t>
  </si>
  <si>
    <t xml:space="preserve">Currency</t>
  </si>
  <si>
    <t xml:space="preserve">Bank Name</t>
  </si>
  <si>
    <t xml:space="preserve">Bank Account No.</t>
  </si>
  <si>
    <t xml:space="preserve">NEK</t>
  </si>
  <si>
    <t xml:space="preserve">Ng Eng Kee &amp; Sons Sdn Bhd</t>
  </si>
  <si>
    <t xml:space="preserve">198401003022 (115540-H)</t>
  </si>
  <si>
    <t xml:space="preserve">51-10-E, Menara BHL, Jalan Sultan Ahmad Shah, 10050 Georgetown, Penang, Malaysia</t>
  </si>
  <si>
    <t xml:space="preserve">04-2293688</t>
  </si>
  <si>
    <t xml:space="preserve">MYR</t>
  </si>
  <si>
    <t xml:space="preserve">[to be populated]</t>
  </si>
  <si>
    <t xml:space="preserve">NEKGV</t>
  </si>
  <si>
    <t xml:space="preserve">NEK Global Venture Sdn Bhd</t>
  </si>
  <si>
    <t xml:space="preserve">201701005849 (1220014-K)</t>
  </si>
  <si>
    <t xml:space="preserve">MDL</t>
  </si>
  <si>
    <t xml:space="preserve">Marque De Luxe Sdn Bhd</t>
  </si>
  <si>
    <t xml:space="preserve">201801034932 (1296959-W)</t>
  </si>
  <si>
    <t xml:space="preserve">HHIL</t>
  </si>
  <si>
    <t xml:space="preserve">Honour Harvest International Limited</t>
  </si>
  <si>
    <t xml:space="preserve">202002000010 (995780-D)</t>
  </si>
  <si>
    <t xml:space="preserve">NGCS</t>
  </si>
  <si>
    <t xml:space="preserve">NGCS Capital Sdn Bhd</t>
  </si>
  <si>
    <t xml:space="preserve">202201029491 (1475188-H)</t>
  </si>
  <si>
    <t xml:space="preserve">NCLCAP</t>
  </si>
  <si>
    <t xml:space="preserve">NCL Capital Sdn Bhd</t>
  </si>
  <si>
    <t xml:space="preserve">202201030761 (1476458-K)</t>
  </si>
  <si>
    <t xml:space="preserve">SBOXCAP</t>
  </si>
  <si>
    <t xml:space="preserve">Sandbox Capital Sdn Bhd</t>
  </si>
  <si>
    <t xml:space="preserve">202101001994</t>
  </si>
  <si>
    <t xml:space="preserve">SBOXAI</t>
  </si>
  <si>
    <t xml:space="preserve">Sandbox AI Ventures Sdn Bhd</t>
  </si>
  <si>
    <t xml:space="preserve">202301011872 (1505794-W)</t>
  </si>
  <si>
    <t xml:space="preserve">NCL</t>
  </si>
  <si>
    <t xml:space="preserve">Ng Chong Lam</t>
  </si>
  <si>
    <t xml:space="preserve">33, Denai Bayu 2, Jalan Seri Tanjung Pinang, 10470 Tanjung Tokong, Penang, Malaysia</t>
  </si>
  <si>
    <t xml:space="preserve">HKD</t>
  </si>
  <si>
    <t xml:space="preserve">CSK</t>
  </si>
  <si>
    <t xml:space="preserve">Chiang Sau Kuen</t>
  </si>
  <si>
    <t xml:space="preserve">WT</t>
  </si>
  <si>
    <t xml:space="preserve">Wintrace Investment</t>
  </si>
  <si>
    <t xml:space="preserve">USD</t>
  </si>
  <si>
    <t xml:space="preserve">CONTROL PANEL</t>
  </si>
  <si>
    <t xml:space="preserve">PAYMENT VOUCHER</t>
  </si>
  <si>
    <t xml:space="preserve">Fill the yellow cells. The voucher updates itself.</t>
  </si>
  <si>
    <t xml:space="preserve">Running No. (NNN)</t>
  </si>
  <si>
    <t xml:space="preserve">→ PV No. (auto)</t>
  </si>
  <si>
    <t xml:space="preserve">PAY TO :</t>
  </si>
  <si>
    <t xml:space="preserve">[payee name]</t>
  </si>
  <si>
    <t xml:space="preserve">PV NO :</t>
  </si>
  <si>
    <t xml:space="preserve">Doc type: PV (fixed)</t>
  </si>
  <si>
    <t xml:space="preserve">TT / CHEQUE :</t>
  </si>
  <si>
    <t xml:space="preserve">IBG</t>
  </si>
  <si>
    <t xml:space="preserve">DATE :</t>
  </si>
  <si>
    <t xml:space="preserve">IN PAYMENT FOR</t>
  </si>
  <si>
    <t xml:space="preserve">ACCOUNTS CODE</t>
  </si>
  <si>
    <t xml:space="preserve">EPF Payable — Jul 2026</t>
  </si>
  <si>
    <t xml:space="preserve">TOTAL</t>
  </si>
  <si>
    <t xml:space="preserve">Ringgit Malaysia :</t>
  </si>
  <si>
    <t xml:space="preserve">[amount in words]</t>
  </si>
  <si>
    <t xml:space="preserve">PREPARED BY</t>
  </si>
  <si>
    <t xml:space="preserve">RECEIVED BY</t>
  </si>
  <si>
    <t xml:space="preserve">ISSUED BY</t>
  </si>
  <si>
    <t xml:space="preserve">APPROVED BY</t>
  </si>
  <si>
    <t xml:space="preserve">Internal control document. Retain the signed copy for audit.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</si>
</sst>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_-* #,##0.00_-;\-* #,##0.00_-;_-* \-??_-;_-@_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808080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2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1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4" t="s">
        <v>9</v>
      </c>
      <c r="C9" s="5" t="s">
        <v>10</v>
      </c>
    </row>
    <row r="11" customFormat="false" ht="15" hidden="false" customHeight="false" outlineLevel="0" collapsed="false">
      <c r="B11" s="3" t="s">
        <v>11</v>
      </c>
    </row>
    <row r="12" customFormat="false" ht="15" hidden="false" customHeight="false" outlineLevel="0" collapsed="false">
      <c r="B12" s="4" t="s">
        <v>12</v>
      </c>
      <c r="C12" s="5" t="s">
        <v>13</v>
      </c>
    </row>
    <row r="13" customFormat="false" ht="15" hidden="false" customHeight="false" outlineLevel="0" collapsed="false">
      <c r="B13" s="4" t="s">
        <v>14</v>
      </c>
      <c r="C13" s="5" t="s">
        <v>15</v>
      </c>
    </row>
    <row r="14" customFormat="false" ht="15" hidden="false" customHeight="false" outlineLevel="0" collapsed="false">
      <c r="B14" s="4" t="s">
        <v>16</v>
      </c>
      <c r="C14" s="5" t="s">
        <v>17</v>
      </c>
    </row>
    <row r="16" customFormat="false" ht="15" hidden="false" customHeight="false" outlineLevel="0" collapsed="false">
      <c r="B16" s="3" t="s">
        <v>18</v>
      </c>
    </row>
    <row r="17" customFormat="false" ht="15" hidden="false" customHeight="false" outlineLevel="0" collapsed="false">
      <c r="B17" s="4" t="s">
        <v>19</v>
      </c>
      <c r="C17" s="5" t="s">
        <v>20</v>
      </c>
    </row>
    <row r="18" customFormat="false" ht="15" hidden="false" customHeight="false" outlineLevel="0" collapsed="false">
      <c r="B18" s="4" t="s">
        <v>21</v>
      </c>
      <c r="C18" s="5" t="s">
        <v>22</v>
      </c>
    </row>
    <row r="19" customFormat="false" ht="23.85" hidden="false" customHeight="false" outlineLevel="0" collapsed="false">
      <c r="B19" s="4" t="s">
        <v>23</v>
      </c>
      <c r="C19" s="5" t="s">
        <v>24</v>
      </c>
    </row>
    <row r="20" customFormat="false" ht="23.85" hidden="false" customHeight="false" outlineLevel="0" collapsed="false">
      <c r="B20" s="4" t="s">
        <v>25</v>
      </c>
      <c r="C20" s="5" t="s">
        <v>26</v>
      </c>
    </row>
    <row r="21" customFormat="false" ht="35.05" hidden="false" customHeight="false" outlineLevel="0" collapsed="false">
      <c r="C21" s="5" t="s">
        <v>27</v>
      </c>
    </row>
    <row r="23" customFormat="false" ht="15" hidden="false" customHeight="false" outlineLevel="0" collapsed="false">
      <c r="B23" s="3" t="s">
        <v>28</v>
      </c>
    </row>
    <row r="24" customFormat="false" ht="23.85" hidden="false" customHeight="false" outlineLevel="0" collapsed="false">
      <c r="B24" s="4" t="s">
        <v>29</v>
      </c>
      <c r="C24" s="5" t="s">
        <v>30</v>
      </c>
    </row>
    <row r="25" customFormat="false" ht="23.85" hidden="false" customHeight="false" outlineLevel="0" collapsed="false">
      <c r="B25" s="4" t="s">
        <v>31</v>
      </c>
      <c r="C25" s="5" t="s">
        <v>32</v>
      </c>
    </row>
    <row r="26" customFormat="false" ht="15" hidden="false" customHeight="false" outlineLevel="0" collapsed="false">
      <c r="B26" s="4" t="s">
        <v>33</v>
      </c>
      <c r="C26" s="5" t="s">
        <v>34</v>
      </c>
    </row>
    <row r="27" customFormat="false" ht="23.85" hidden="false" customHeight="false" outlineLevel="0" collapsed="false">
      <c r="C27" s="5" t="s">
        <v>35</v>
      </c>
    </row>
    <row r="29" customFormat="false" ht="15" hidden="false" customHeight="false" outlineLevel="0" collapsed="false">
      <c r="B29" s="3" t="s">
        <v>36</v>
      </c>
    </row>
    <row r="30" customFormat="false" ht="15" hidden="false" customHeight="false" outlineLevel="0" collapsed="false">
      <c r="B30" s="4" t="s">
        <v>37</v>
      </c>
      <c r="C30" s="5" t="s">
        <v>38</v>
      </c>
    </row>
    <row r="31" customFormat="false" ht="15" hidden="false" customHeight="false" outlineLevel="0" collapsed="false">
      <c r="B31" s="4" t="s">
        <v>39</v>
      </c>
      <c r="C31" s="5" t="s">
        <v>40</v>
      </c>
    </row>
    <row r="32" customFormat="false" ht="15" hidden="false" customHeight="false" outlineLevel="0" collapsed="false">
      <c r="B32" s="4" t="s">
        <v>41</v>
      </c>
      <c r="C32" s="5" t="s">
        <v>42</v>
      </c>
    </row>
    <row r="34" customFormat="false" ht="15" hidden="false" customHeight="false" outlineLevel="0" collapsed="false">
      <c r="B34" s="3" t="s">
        <v>43</v>
      </c>
    </row>
    <row r="35" customFormat="false" ht="15" hidden="false" customHeight="false" outlineLevel="0" collapsed="false">
      <c r="B35" s="4" t="s">
        <v>44</v>
      </c>
      <c r="C35" s="5" t="s">
        <v>45</v>
      </c>
    </row>
    <row r="36" customFormat="false" ht="15" hidden="false" customHeight="false" outlineLevel="0" collapsed="false">
      <c r="B36" s="4" t="s">
        <v>46</v>
      </c>
      <c r="C36" s="5" t="s">
        <v>47</v>
      </c>
    </row>
    <row r="38" customFormat="false" ht="15" hidden="false" customHeight="false" outlineLevel="0" collapsed="false">
      <c r="B38" s="3" t="s">
        <v>48</v>
      </c>
    </row>
    <row r="39" customFormat="false" ht="15" hidden="false" customHeight="false" outlineLevel="0" collapsed="false">
      <c r="B39" s="4" t="s">
        <v>49</v>
      </c>
      <c r="C39" s="5" t="s">
        <v>50</v>
      </c>
    </row>
    <row r="40" customFormat="false" ht="23.85" hidden="false" customHeight="false" outlineLevel="0" collapsed="false">
      <c r="B40" s="4" t="s">
        <v>51</v>
      </c>
      <c r="C40" s="5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4" min="4" style="0" width="5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8" min="7" style="0" width="22"/>
  </cols>
  <sheetData>
    <row r="1" customFormat="false" ht="15" hidden="false" customHeight="false" outlineLevel="0" collapsed="false">
      <c r="A1" s="6" t="s">
        <v>53</v>
      </c>
    </row>
    <row r="2" customFormat="false" ht="15" hidden="false" customHeight="false" outlineLevel="0" collapsed="false">
      <c r="A2" s="7" t="s">
        <v>54</v>
      </c>
      <c r="B2" s="7" t="s">
        <v>55</v>
      </c>
      <c r="C2" s="7" t="s">
        <v>56</v>
      </c>
      <c r="D2" s="7" t="s">
        <v>57</v>
      </c>
      <c r="E2" s="7" t="s">
        <v>58</v>
      </c>
      <c r="F2" s="7" t="s">
        <v>59</v>
      </c>
      <c r="G2" s="7" t="s">
        <v>60</v>
      </c>
      <c r="H2" s="7" t="s">
        <v>61</v>
      </c>
    </row>
    <row r="3" customFormat="false" ht="22.35" hidden="false" customHeight="false" outlineLevel="0" collapsed="false">
      <c r="A3" s="8" t="s">
        <v>62</v>
      </c>
      <c r="B3" s="8" t="s">
        <v>63</v>
      </c>
      <c r="C3" s="8" t="s">
        <v>64</v>
      </c>
      <c r="D3" s="8" t="s">
        <v>65</v>
      </c>
      <c r="E3" s="8" t="s">
        <v>66</v>
      </c>
      <c r="F3" s="8" t="s">
        <v>67</v>
      </c>
      <c r="G3" s="8" t="s">
        <v>68</v>
      </c>
      <c r="H3" s="8" t="s">
        <v>68</v>
      </c>
    </row>
    <row r="4" customFormat="false" ht="22.35" hidden="false" customHeight="false" outlineLevel="0" collapsed="false">
      <c r="A4" s="8" t="s">
        <v>69</v>
      </c>
      <c r="B4" s="8" t="s">
        <v>70</v>
      </c>
      <c r="C4" s="8" t="s">
        <v>71</v>
      </c>
      <c r="D4" s="8" t="s">
        <v>65</v>
      </c>
      <c r="E4" s="8" t="s">
        <v>66</v>
      </c>
      <c r="F4" s="8" t="s">
        <v>67</v>
      </c>
      <c r="G4" s="8" t="s">
        <v>68</v>
      </c>
      <c r="H4" s="8" t="s">
        <v>68</v>
      </c>
    </row>
    <row r="5" customFormat="false" ht="22.35" hidden="false" customHeight="false" outlineLevel="0" collapsed="false">
      <c r="A5" s="8" t="s">
        <v>72</v>
      </c>
      <c r="B5" s="8" t="s">
        <v>73</v>
      </c>
      <c r="C5" s="8" t="s">
        <v>74</v>
      </c>
      <c r="D5" s="8" t="s">
        <v>65</v>
      </c>
      <c r="E5" s="8" t="s">
        <v>66</v>
      </c>
      <c r="F5" s="8" t="s">
        <v>67</v>
      </c>
      <c r="G5" s="8" t="s">
        <v>68</v>
      </c>
      <c r="H5" s="8" t="s">
        <v>68</v>
      </c>
    </row>
    <row r="6" customFormat="false" ht="22.35" hidden="false" customHeight="false" outlineLevel="0" collapsed="false">
      <c r="A6" s="8" t="s">
        <v>75</v>
      </c>
      <c r="B6" s="8" t="s">
        <v>76</v>
      </c>
      <c r="C6" s="8" t="s">
        <v>77</v>
      </c>
      <c r="D6" s="8" t="s">
        <v>65</v>
      </c>
      <c r="E6" s="8" t="s">
        <v>66</v>
      </c>
      <c r="F6" s="8" t="s">
        <v>67</v>
      </c>
      <c r="G6" s="8" t="s">
        <v>68</v>
      </c>
      <c r="H6" s="8" t="s">
        <v>68</v>
      </c>
    </row>
    <row r="7" customFormat="false" ht="22.35" hidden="false" customHeight="false" outlineLevel="0" collapsed="false">
      <c r="A7" s="8" t="s">
        <v>78</v>
      </c>
      <c r="B7" s="8" t="s">
        <v>79</v>
      </c>
      <c r="C7" s="8" t="s">
        <v>80</v>
      </c>
      <c r="D7" s="8" t="s">
        <v>65</v>
      </c>
      <c r="E7" s="8" t="s">
        <v>66</v>
      </c>
      <c r="F7" s="8" t="s">
        <v>67</v>
      </c>
      <c r="G7" s="8" t="s">
        <v>68</v>
      </c>
      <c r="H7" s="8" t="s">
        <v>68</v>
      </c>
    </row>
    <row r="8" customFormat="false" ht="22.35" hidden="false" customHeight="false" outlineLevel="0" collapsed="false">
      <c r="A8" s="8" t="s">
        <v>81</v>
      </c>
      <c r="B8" s="8" t="s">
        <v>82</v>
      </c>
      <c r="C8" s="8" t="s">
        <v>83</v>
      </c>
      <c r="D8" s="8" t="s">
        <v>65</v>
      </c>
      <c r="E8" s="8" t="s">
        <v>66</v>
      </c>
      <c r="F8" s="8" t="s">
        <v>67</v>
      </c>
      <c r="G8" s="8" t="s">
        <v>68</v>
      </c>
      <c r="H8" s="8" t="s">
        <v>68</v>
      </c>
    </row>
    <row r="9" customFormat="false" ht="22.35" hidden="false" customHeight="false" outlineLevel="0" collapsed="false">
      <c r="A9" s="8" t="s">
        <v>84</v>
      </c>
      <c r="B9" s="8" t="s">
        <v>85</v>
      </c>
      <c r="C9" s="8" t="s">
        <v>86</v>
      </c>
      <c r="D9" s="8" t="s">
        <v>65</v>
      </c>
      <c r="E9" s="8" t="s">
        <v>66</v>
      </c>
      <c r="F9" s="8" t="s">
        <v>67</v>
      </c>
      <c r="G9" s="8" t="s">
        <v>68</v>
      </c>
      <c r="H9" s="8" t="s">
        <v>68</v>
      </c>
    </row>
    <row r="10" customFormat="false" ht="22.35" hidden="false" customHeight="false" outlineLevel="0" collapsed="false">
      <c r="A10" s="8" t="s">
        <v>87</v>
      </c>
      <c r="B10" s="8" t="s">
        <v>88</v>
      </c>
      <c r="C10" s="8" t="s">
        <v>89</v>
      </c>
      <c r="D10" s="8" t="s">
        <v>65</v>
      </c>
      <c r="E10" s="8" t="s">
        <v>66</v>
      </c>
      <c r="F10" s="8" t="s">
        <v>67</v>
      </c>
      <c r="G10" s="8" t="s">
        <v>68</v>
      </c>
      <c r="H10" s="8" t="s">
        <v>68</v>
      </c>
    </row>
    <row r="11" customFormat="false" ht="22.35" hidden="false" customHeight="false" outlineLevel="0" collapsed="false">
      <c r="A11" s="8" t="s">
        <v>90</v>
      </c>
      <c r="B11" s="8" t="s">
        <v>91</v>
      </c>
      <c r="C11" s="8"/>
      <c r="D11" s="8" t="s">
        <v>92</v>
      </c>
      <c r="E11" s="8"/>
      <c r="F11" s="8" t="s">
        <v>93</v>
      </c>
      <c r="G11" s="8" t="s">
        <v>68</v>
      </c>
      <c r="H11" s="8" t="s">
        <v>68</v>
      </c>
    </row>
    <row r="12" customFormat="false" ht="22.35" hidden="false" customHeight="false" outlineLevel="0" collapsed="false">
      <c r="A12" s="8" t="s">
        <v>94</v>
      </c>
      <c r="B12" s="8" t="s">
        <v>95</v>
      </c>
      <c r="C12" s="8"/>
      <c r="D12" s="8" t="s">
        <v>92</v>
      </c>
      <c r="E12" s="8"/>
      <c r="F12" s="8" t="s">
        <v>93</v>
      </c>
      <c r="G12" s="8" t="s">
        <v>68</v>
      </c>
      <c r="H12" s="8" t="s">
        <v>68</v>
      </c>
    </row>
    <row r="13" customFormat="false" ht="15" hidden="false" customHeight="false" outlineLevel="0" collapsed="false">
      <c r="A13" s="8" t="s">
        <v>96</v>
      </c>
      <c r="B13" s="8" t="s">
        <v>97</v>
      </c>
      <c r="C13" s="8"/>
      <c r="D13" s="8"/>
      <c r="E13" s="8"/>
      <c r="F13" s="8" t="s">
        <v>98</v>
      </c>
      <c r="G13" s="8" t="s">
        <v>68</v>
      </c>
      <c r="H13" s="8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10" min="10" style="0" width="18"/>
    <col collapsed="false" customWidth="true" hidden="false" outlineLevel="0" max="11" min="11" style="0" width="20"/>
  </cols>
  <sheetData>
    <row r="1" customFormat="false" ht="19.5" hidden="false" customHeight="true" outlineLevel="0" collapsed="false">
      <c r="A1" s="9" t="str">
        <f aca="false">IFERROR(INDEX(_EntityData!$B$3:$B$13,MATCH($K$3,_EntityData!$A$3:$A$13,0)),"")</f>
        <v>Ng Eng Kee &amp; Sons Sdn Bhd</v>
      </c>
      <c r="B1" s="9"/>
      <c r="C1" s="9"/>
      <c r="D1" s="9"/>
      <c r="E1" s="9"/>
      <c r="F1" s="9"/>
      <c r="G1" s="9"/>
      <c r="H1" s="9"/>
      <c r="J1" s="10" t="s">
        <v>99</v>
      </c>
      <c r="K1" s="11"/>
    </row>
    <row r="2" customFormat="false" ht="19.5" hidden="false" customHeight="true" outlineLevel="0" collapsed="false">
      <c r="A2" s="12" t="s">
        <v>100</v>
      </c>
      <c r="B2" s="12"/>
      <c r="C2" s="12"/>
      <c r="D2" s="12"/>
      <c r="E2" s="12"/>
      <c r="F2" s="12"/>
      <c r="G2" s="12"/>
      <c r="H2" s="12"/>
      <c r="J2" s="13" t="s">
        <v>101</v>
      </c>
      <c r="K2" s="13"/>
    </row>
    <row r="3" customFormat="false" ht="15" hidden="false" customHeight="false" outlineLevel="0" collapsed="false">
      <c r="A3" s="14" t="str">
        <f aca="false">IFERROR(INDEX(_EntityData!$D$3:$D$13,MATCH($K$3,_EntityData!$A$3:$A$13,0)),"")</f>
        <v>51-10-E, Menara BHL, Jalan Sultan Ahmad Shah, 10050 Georgetown, Penang, Malaysia</v>
      </c>
      <c r="B3" s="14"/>
      <c r="C3" s="14"/>
      <c r="D3" s="14"/>
      <c r="E3" s="14"/>
      <c r="F3" s="14"/>
      <c r="G3" s="14"/>
      <c r="H3" s="14"/>
      <c r="J3" s="4" t="s">
        <v>54</v>
      </c>
      <c r="K3" s="15" t="s">
        <v>62</v>
      </c>
    </row>
    <row r="4" customFormat="false" ht="15" hidden="false" customHeight="false" outlineLevel="0" collapsed="false">
      <c r="A4" s="14" t="str">
        <f aca="false">IF($K$3="","","Co. Reg. No. "&amp;INDEX(_EntityData!$C$3:$C$13,MATCH($K$3,_EntityData!$A$3:$A$13,0))&amp;IF(INDEX(_EntityData!$E$3:$E$13,MATCH($K$3,_EntityData!$A$3:$A$13,0))="","","      Tel/Fax : "&amp;INDEX(_EntityData!$E$3:$E$13,MATCH($K$3,_EntityData!$A$3:$A$13,0))))</f>
        <v>Co. Reg. No. 198401003022 (115540-H)      Tel/Fax : 04-2293688</v>
      </c>
      <c r="B4" s="14"/>
      <c r="C4" s="14"/>
      <c r="D4" s="14"/>
      <c r="E4" s="14"/>
      <c r="F4" s="14"/>
      <c r="G4" s="14"/>
      <c r="H4" s="14"/>
      <c r="J4" s="4" t="s">
        <v>102</v>
      </c>
      <c r="K4" s="16" t="n">
        <v>14</v>
      </c>
    </row>
    <row r="5" customFormat="false" ht="15" hidden="false" customHeight="false" outlineLevel="0" collapsed="false">
      <c r="A5" s="17"/>
      <c r="B5" s="17"/>
      <c r="C5" s="17"/>
      <c r="D5" s="17"/>
      <c r="E5" s="17"/>
      <c r="F5" s="17"/>
      <c r="G5" s="17"/>
      <c r="H5" s="17"/>
      <c r="J5" s="18" t="s">
        <v>103</v>
      </c>
      <c r="K5" s="19" t="str">
        <f aca="false">$H$7</f>
        <v>PV-NEK-202607-014</v>
      </c>
    </row>
    <row r="7" customFormat="false" ht="15" hidden="false" customHeight="true" outlineLevel="0" collapsed="false">
      <c r="A7" s="4" t="s">
        <v>104</v>
      </c>
      <c r="B7" s="20" t="s">
        <v>105</v>
      </c>
      <c r="C7" s="20"/>
      <c r="D7" s="20"/>
      <c r="E7" s="20"/>
      <c r="G7" s="21" t="s">
        <v>106</v>
      </c>
      <c r="H7" s="22" t="str">
        <f aca="false">IF(OR($K$3="",$K$4="",$H$9=""),"","PV-"&amp;$K$3&amp;"-"&amp;TEXT($H$9,"yyyymm")&amp;"-"&amp;TEXT($K$4,"000"))</f>
        <v>PV-NEK-202607-014</v>
      </c>
      <c r="J7" s="23" t="s">
        <v>107</v>
      </c>
      <c r="K7" s="23"/>
    </row>
    <row r="8" customFormat="false" ht="15" hidden="false" customHeight="false" outlineLevel="0" collapsed="false">
      <c r="G8" s="21" t="s">
        <v>108</v>
      </c>
      <c r="H8" s="24" t="s">
        <v>109</v>
      </c>
    </row>
    <row r="9" customFormat="false" ht="15" hidden="false" customHeight="false" outlineLevel="0" collapsed="false">
      <c r="G9" s="21" t="s">
        <v>110</v>
      </c>
      <c r="H9" s="25" t="n">
        <v>46228</v>
      </c>
    </row>
    <row r="11" customFormat="false" ht="15" hidden="false" customHeight="true" outlineLevel="0" collapsed="false">
      <c r="A11" s="26" t="s">
        <v>111</v>
      </c>
      <c r="B11" s="26"/>
      <c r="C11" s="26"/>
      <c r="D11" s="26"/>
      <c r="E11" s="26" t="s">
        <v>67</v>
      </c>
      <c r="F11" s="26"/>
      <c r="G11" s="26" t="s">
        <v>112</v>
      </c>
      <c r="H11" s="26"/>
    </row>
    <row r="12" customFormat="false" ht="18" hidden="false" customHeight="true" outlineLevel="0" collapsed="false">
      <c r="A12" s="20" t="s">
        <v>113</v>
      </c>
      <c r="B12" s="20"/>
      <c r="C12" s="20"/>
      <c r="D12" s="20"/>
      <c r="E12" s="27" t="n">
        <v>2793</v>
      </c>
      <c r="F12" s="27"/>
      <c r="G12" s="28"/>
      <c r="H12" s="28"/>
    </row>
    <row r="13" customFormat="false" ht="18" hidden="false" customHeight="true" outlineLevel="0" collapsed="false">
      <c r="A13" s="20"/>
      <c r="B13" s="20"/>
      <c r="C13" s="20"/>
      <c r="D13" s="20"/>
      <c r="E13" s="27"/>
      <c r="F13" s="27"/>
      <c r="G13" s="28"/>
      <c r="H13" s="28"/>
    </row>
    <row r="14" customFormat="false" ht="18" hidden="false" customHeight="true" outlineLevel="0" collapsed="false">
      <c r="A14" s="20"/>
      <c r="B14" s="20"/>
      <c r="C14" s="20"/>
      <c r="D14" s="20"/>
      <c r="E14" s="27"/>
      <c r="F14" s="27"/>
      <c r="G14" s="28"/>
      <c r="H14" s="28"/>
    </row>
    <row r="15" customFormat="false" ht="18" hidden="false" customHeight="true" outlineLevel="0" collapsed="false">
      <c r="A15" s="20"/>
      <c r="B15" s="20"/>
      <c r="C15" s="20"/>
      <c r="D15" s="20"/>
      <c r="E15" s="27"/>
      <c r="F15" s="27"/>
      <c r="G15" s="28"/>
      <c r="H15" s="28"/>
    </row>
    <row r="16" customFormat="false" ht="18" hidden="false" customHeight="true" outlineLevel="0" collapsed="false">
      <c r="A16" s="20"/>
      <c r="B16" s="20"/>
      <c r="C16" s="20"/>
      <c r="D16" s="20"/>
      <c r="E16" s="27"/>
      <c r="F16" s="27"/>
      <c r="G16" s="28"/>
      <c r="H16" s="28"/>
    </row>
    <row r="17" customFormat="false" ht="18" hidden="false" customHeight="true" outlineLevel="0" collapsed="false">
      <c r="A17" s="20"/>
      <c r="B17" s="20"/>
      <c r="C17" s="20"/>
      <c r="D17" s="20"/>
      <c r="E17" s="27"/>
      <c r="F17" s="27"/>
      <c r="G17" s="28"/>
      <c r="H17" s="28"/>
    </row>
    <row r="18" customFormat="false" ht="15" hidden="false" customHeight="false" outlineLevel="0" collapsed="false">
      <c r="A18" s="29" t="s">
        <v>114</v>
      </c>
      <c r="B18" s="29"/>
      <c r="C18" s="29"/>
      <c r="D18" s="29"/>
      <c r="E18" s="30" t="n">
        <f aca="false">SUM(E12:F17)</f>
        <v>2793</v>
      </c>
      <c r="F18" s="30"/>
      <c r="G18" s="31"/>
      <c r="H18" s="31"/>
    </row>
    <row r="20" customFormat="false" ht="15" hidden="false" customHeight="true" outlineLevel="0" collapsed="false">
      <c r="A20" s="4" t="s">
        <v>115</v>
      </c>
      <c r="B20" s="32" t="s">
        <v>116</v>
      </c>
      <c r="C20" s="32"/>
      <c r="D20" s="32"/>
      <c r="E20" s="32"/>
      <c r="F20" s="32"/>
      <c r="G20" s="32"/>
      <c r="H20" s="32"/>
    </row>
    <row r="23" customFormat="false" ht="15" hidden="false" customHeight="false" outlineLevel="0" collapsed="false">
      <c r="A23" s="33" t="s">
        <v>117</v>
      </c>
      <c r="B23" s="34"/>
      <c r="C23" s="34"/>
      <c r="E23" s="33" t="s">
        <v>118</v>
      </c>
      <c r="F23" s="34"/>
      <c r="G23" s="34"/>
      <c r="H23" s="34"/>
    </row>
    <row r="25" customFormat="false" ht="15" hidden="false" customHeight="false" outlineLevel="0" collapsed="false">
      <c r="A25" s="33" t="s">
        <v>119</v>
      </c>
      <c r="B25" s="34"/>
      <c r="C25" s="34"/>
    </row>
    <row r="27" customFormat="false" ht="15" hidden="false" customHeight="false" outlineLevel="0" collapsed="false">
      <c r="A27" s="33" t="s">
        <v>120</v>
      </c>
      <c r="B27" s="34"/>
      <c r="C27" s="34"/>
    </row>
    <row r="30" customFormat="false" ht="15" hidden="false" customHeight="true" outlineLevel="0" collapsed="false">
      <c r="A30" s="35" t="s">
        <v>121</v>
      </c>
      <c r="B30" s="35"/>
      <c r="C30" s="35"/>
      <c r="D30" s="35"/>
      <c r="E30" s="35"/>
      <c r="F30" s="35"/>
      <c r="G30" s="35"/>
      <c r="H30" s="35"/>
    </row>
  </sheetData>
  <mergeCells count="37">
    <mergeCell ref="A1:H1"/>
    <mergeCell ref="A2:H2"/>
    <mergeCell ref="J2:K2"/>
    <mergeCell ref="A3:H3"/>
    <mergeCell ref="A4:H4"/>
    <mergeCell ref="B7:E7"/>
    <mergeCell ref="J7:K7"/>
    <mergeCell ref="A11:D11"/>
    <mergeCell ref="E11:F11"/>
    <mergeCell ref="G11:H11"/>
    <mergeCell ref="A12:D12"/>
    <mergeCell ref="E12:F12"/>
    <mergeCell ref="G12:H12"/>
    <mergeCell ref="A13:D13"/>
    <mergeCell ref="E13:F13"/>
    <mergeCell ref="G13:H13"/>
    <mergeCell ref="A14:D14"/>
    <mergeCell ref="E14:F14"/>
    <mergeCell ref="G14:H14"/>
    <mergeCell ref="A15:D15"/>
    <mergeCell ref="E15:F15"/>
    <mergeCell ref="G15:H15"/>
    <mergeCell ref="A16:D16"/>
    <mergeCell ref="E16:F16"/>
    <mergeCell ref="G16:H16"/>
    <mergeCell ref="A17:D17"/>
    <mergeCell ref="E17:F17"/>
    <mergeCell ref="G17:H17"/>
    <mergeCell ref="A18:D18"/>
    <mergeCell ref="E18:F18"/>
    <mergeCell ref="G18:H18"/>
    <mergeCell ref="B20:H20"/>
    <mergeCell ref="B23:C23"/>
    <mergeCell ref="F23:H23"/>
    <mergeCell ref="B25:C25"/>
    <mergeCell ref="B27:C27"/>
    <mergeCell ref="A30:H30"/>
  </mergeCells>
  <dataValidations count="1">
    <dataValidation allowBlank="false" errorStyle="stop" operator="between" showDropDown="false" showErrorMessage="false" showInputMessage="false" sqref="K3" type="list">
      <formula1>_EntityData!$A$3:$A$13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2026-07-22T08:58:12Z</dcterms:created>
  <dc:creator>openpyxl</dc:creator>
  <dc:description/>
  <dc:language>en-US</dc:language>
  <cp:lastModifiedBy/>
  <dcterms:modified xsi:type="dcterms:W3CDTF">2026-07-22T08:58:12Z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