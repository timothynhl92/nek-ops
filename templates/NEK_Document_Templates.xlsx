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7D69523B-772F-4EBF-8234-717598B35D37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Voucher'!$A$1:$H$30</definedName>
    <definedName name="_xlnm.Print_Area" localSheetId="5">'Receiving Voucher'!$A$1:$H$30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7" l="1"/>
  <c r="G11" i="7"/>
  <c r="K9" i="7"/>
  <c r="A20" i="6"/>
  <c r="G11" i="6"/>
  <c r="K9" i="6"/>
  <c r="A20" i="5"/>
  <c r="E11" i="5"/>
  <c r="K9" i="5"/>
  <c r="A20" i="4"/>
  <c r="E11" i="4"/>
  <c r="K9" i="4"/>
  <c r="K8" i="8"/>
  <c r="K6" i="8"/>
  <c r="A4" i="8"/>
  <c r="A3" i="8"/>
  <c r="A1" i="8"/>
  <c r="C23" i="7"/>
  <c r="K8" i="7"/>
  <c r="K6" i="7"/>
  <c r="A4" i="7"/>
  <c r="A3" i="7"/>
  <c r="A1" i="7"/>
  <c r="A23" i="6"/>
  <c r="K8" i="6"/>
  <c r="K6" i="6"/>
  <c r="A4" i="6"/>
  <c r="A3" i="6"/>
  <c r="A1" i="6"/>
  <c r="K8" i="5"/>
  <c r="K6" i="5"/>
  <c r="A4" i="5"/>
  <c r="A3" i="5"/>
  <c r="A1" i="5"/>
  <c r="K8" i="4"/>
  <c r="K6" i="4"/>
  <c r="A4" i="4"/>
  <c r="A3" i="4"/>
  <c r="A1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H7" i="5" s="1"/>
  <c r="E18" i="4"/>
  <c r="K7" i="4"/>
  <c r="H7" i="4" s="1"/>
</calcChain>
</file>

<file path=xl/sharedStrings.xml><?xml version="1.0" encoding="utf-8"?>
<sst xmlns="http://schemas.openxmlformats.org/spreadsheetml/2006/main" count="397" uniqueCount="211">
  <si>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</si>
  <si>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</si>
  <si>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</si>
  <si>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</si>
  <si>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</si>
  <si>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</si>
  <si>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</si>
  <si>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</si>
  <si>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</si>
  <si>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</si>
  <si>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</si>
  <si>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</si>
  <si>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</si>
  <si>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</si>
  <si>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</si>
  <si>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</si>
  <si>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</si>
  <si>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</si>
  <si>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</si>
  <si>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</si>
  <si>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</si>
  <si>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</si>
  <si>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</si>
  <si>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</si>
  <si>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</si>
  <si>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</si>
  <si>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</si>
  <si>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</si>
  <si>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</si>
  <si>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</si>
  <si>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</si>
  <si>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</si>
  <si>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</si>
  <si>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</si>
  <si>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</si>
  <si>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</si>
  <si>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</si>
  <si>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</si>
  <si>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</si>
  <si>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</si>
  <si>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</si>
  <si>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</si>
  <si>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</si>
  <si>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</si>
  <si>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</si>
  <si>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</si>
  <si>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</si>
  <si>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</si>
  <si>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</si>
  <si>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</si>
  <si>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</si>
  <si>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</si>
  <si>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</si>
  <si>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</si>
  <si>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</si>
  <si>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</si>
  <si>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</si>
  <si>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</si>
  <si>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</si>
  <si>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</si>
  <si>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</si>
  <si>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</si>
  <si>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</si>
  <si>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</si>
  <si>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</si>
  <si>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</si>
  <si>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</si>
  <si>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</si>
  <si>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</si>
  <si>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</si>
  <si>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</si>
  <si>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</si>
  <si>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</si>
  <si>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</si>
  <si>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</si>
  <si>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</si>
  <si>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</si>
  <si>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</si>
  <si>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</si>
  <si>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</si>
  <si>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</si>
  <si>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</si>
  <si>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</si>
  <si>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</si>
  <si>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</si>
  <si>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</si>
  <si>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</si>
  <si>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</si>
  <si>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</si>
  <si>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</si>
  <si>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</si>
  <si>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</si>
  <si>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</si>
  <si>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</si>
  <si>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</si>
  <si>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</si>
  <si>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</si>
  <si>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</si>
  <si>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</si>
  <si>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</si>
  <si>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</si>
  <si>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</si>
  <si>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</si>
  <si>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</si>
  <si>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</si>
  <si>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</si>
  <si>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</si>
  <si>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</si>
  <si>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</si>
  <si>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</si>
  <si>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</si>
  <si>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</si>
  <si>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</si>
  <si>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</si>
  <si>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</si>
  <si>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</si>
  <si>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</si>
  <si>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</si>
  <si>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</si>
  <si>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</si>
  <si>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</si>
  <si>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</si>
  <si>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</si>
  <si>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</si>
  <si>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</si>
  <si>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</si>
  <si>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</si>
  <si>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</si>
  <si>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</si>
  <si>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</si>
  <si>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</si>
  <si>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</si>
  <si>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</si>
  <si>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</si>
  <si>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</si>
  <si>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TT / CHEQUE :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</si>
  <si>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</si>
  <si>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</si>
  <si>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</si>
  <si>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</si>
  <si>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</si>
  <si>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</si>
  <si>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</si>
  <si>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</si>
  <si>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PREPARED BY</t>
  </si>
  <si>
    <t>RECEIVED BY</t>
  </si>
  <si>
    <t>ISSUED BY</t>
  </si>
  <si>
    <t>APPROVED BY</t>
  </si>
  <si>
    <t>Internal control document. Retain the signed copy for audit.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</si>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</sst>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4"/>
      <color rgb="FF1F3864"/>
      <name val="Arial"/>
      <family val="2"/>
    </font>
    <font>
      <b/>
      <sz val="13"/>
      <color rgb="FF000000"/>
      <name val="Arial"/>
      <family val="2"/>
    </font>
    <font>
      <b/>
      <sz val="10"/>
      <color rgb="FFFFFFFF"/>
      <name val="Arial"/>
      <family val="2"/>
    </font>
    <font>
      <i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808080"/>
      <name val="Arial"/>
      <family val="2"/>
    </font>
    <font>
      <i/>
      <sz val="8"/>
      <color rgb="FF000000"/>
      <name val="Arial"/>
      <family val="2"/>
    </font>
    <font>
      <i/>
      <sz val="9"/>
      <color rgb="FF000000"/>
      <name val="Arial"/>
      <family val="2"/>
    </font>
    <font>
      <b/>
      <sz val="9"/>
      <color rgb="FFC00000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1" fillId="2" borderId="0" xfId="0" applyFont="1" applyFill="1"/>
    <xf numFmtId="0" fontId="0" fillId="2" borderId="0" xfId="0" applyFill="1"/>
    <xf numFmtId="0" fontId="1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4" fillId="0" borderId="0" xfId="0" applyFont="1"/>
    <xf numFmtId="0" fontId="15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16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right" vertical="center"/>
    </xf>
    <xf numFmtId="0" fontId="17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43" fontId="5" fillId="3" borderId="1" xfId="0" applyNumberFormat="1" applyFont="1" applyFill="1" applyBorder="1"/>
    <xf numFmtId="43" fontId="4" fillId="4" borderId="1" xfId="0" applyNumberFormat="1" applyFont="1" applyFill="1" applyBorder="1"/>
    <xf numFmtId="43" fontId="5" fillId="0" borderId="1" xfId="0" applyNumberFormat="1" applyFont="1" applyBorder="1"/>
    <xf numFmtId="0" fontId="18" fillId="0" borderId="0" xfId="0" applyFont="1"/>
    <xf numFmtId="43" fontId="18" fillId="4" borderId="1" xfId="0" applyNumberFormat="1" applyFont="1" applyFill="1" applyBorder="1"/>
    <xf numFmtId="0" fontId="14" fillId="0" borderId="0" xfId="0" applyFont="1" applyAlignment="1">
      <alignment horizontal="center" vertical="center" wrapText="1"/>
    </xf>
    <xf numFmtId="0" fontId="0" fillId="0" borderId="0" xfId="0"/>
    <xf numFmtId="0" fontId="0" fillId="3" borderId="3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/>
    </xf>
    <xf numFmtId="43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1" xfId="0" applyBorder="1"/>
    <xf numFmtId="0" fontId="15" fillId="0" borderId="0" xfId="0" applyFont="1"/>
    <xf numFmtId="43" fontId="4" fillId="4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/>
    <xf numFmtId="0" fontId="5" fillId="0" borderId="1" xfId="0" applyFont="1" applyBorder="1"/>
    <xf numFmtId="0" fontId="16" fillId="0" borderId="0" xfId="0" applyFont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201</v>
      </c>
    </row>
    <row r="2" spans="1:3" x14ac:dyDescent="0.35">
      <c r="A2" t="s">
        <v>202</v>
      </c>
      <c r="B2" t="s">
        <v>203</v>
      </c>
      <c r="C2" t="s">
        <v>204</v>
      </c>
    </row>
    <row r="3" spans="1:3" x14ac:dyDescent="0.35">
      <c r="A3" t="s">
        <v>90</v>
      </c>
      <c r="B3" t="s">
        <v>205</v>
      </c>
      <c r="C3" t="s">
        <v>206</v>
      </c>
    </row>
    <row r="4" spans="1:3" x14ac:dyDescent="0.35">
      <c r="A4" t="s">
        <v>63</v>
      </c>
      <c r="B4" t="s">
        <v>207</v>
      </c>
      <c r="C4" t="s">
        <v>208</v>
      </c>
    </row>
    <row r="5" spans="1:3" x14ac:dyDescent="0.35">
      <c r="A5" t="s">
        <v>95</v>
      </c>
      <c r="B5" t="s">
        <v>209</v>
      </c>
      <c r="C5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45" t="s">
        <v>127</v>
      </c>
      <c r="B2" s="31"/>
      <c r="C2" s="31"/>
      <c r="D2" s="31"/>
      <c r="E2" s="31"/>
      <c r="F2" s="31"/>
      <c r="G2" s="31"/>
      <c r="H2" s="31"/>
      <c r="J2" s="42" t="s">
        <v>128</v>
      </c>
      <c r="K2" s="31"/>
    </row>
    <row r="3" spans="1:11" x14ac:dyDescent="0.35">
      <c r="A3" s="4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4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131</v>
      </c>
      <c r="B7" s="33" t="s">
        <v>132</v>
      </c>
      <c r="C7" s="31"/>
      <c r="D7" s="31"/>
      <c r="E7" s="31"/>
      <c r="G7" s="17" t="s">
        <v>133</v>
      </c>
      <c r="H7" s="18" t="str">
        <f>K7</f>
        <v>PV/NEK/BOC/202607/014</v>
      </c>
      <c r="J7" s="15" t="s">
        <v>134</v>
      </c>
      <c r="K7" s="19" t="str">
        <f>IF(OR($K$3="",$K$4="",$K$5="",H9=""),"","PV/"&amp;$K$3&amp;"/"&amp;$K$4&amp;"/"&amp;TEXT(H9,"yyyymm")&amp;"/"&amp;TEXT($K$5,"000"))</f>
        <v>PV/NEK/BOC/202607/014</v>
      </c>
    </row>
    <row r="8" spans="1:11" x14ac:dyDescent="0.35">
      <c r="G8" s="17" t="s">
        <v>135</v>
      </c>
      <c r="H8" s="20" t="s">
        <v>136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G9" s="17" t="s">
        <v>138</v>
      </c>
      <c r="H9" s="22">
        <v>46228</v>
      </c>
      <c r="J9" t="s">
        <v>210</v>
      </c>
      <c r="K9" t="str">
        <f>IFERROR(INDEX(_BankAccounts!$E$3:$E$100,MATCH($K$3&amp;"|"&amp;$K$4,_BankAccounts!$A$3:$A$100,0)),"")</f>
        <v>MYR</v>
      </c>
    </row>
    <row r="11" spans="1:11" x14ac:dyDescent="0.35">
      <c r="A11" s="39" t="s">
        <v>139</v>
      </c>
      <c r="B11" s="40"/>
      <c r="C11" s="40"/>
      <c r="D11" s="40"/>
      <c r="E11" s="39" t="str">
        <f>$K$9</f>
        <v>MYR</v>
      </c>
      <c r="F11" s="40"/>
      <c r="G11" s="39" t="s">
        <v>140</v>
      </c>
      <c r="H11" s="40"/>
    </row>
    <row r="12" spans="1:11" x14ac:dyDescent="0.35">
      <c r="A12" s="33" t="s">
        <v>141</v>
      </c>
      <c r="B12" s="31"/>
      <c r="C12" s="31"/>
      <c r="D12" s="31"/>
      <c r="E12" s="35">
        <v>2793</v>
      </c>
      <c r="F12" s="31"/>
      <c r="G12" s="36"/>
      <c r="H12" s="31"/>
    </row>
    <row r="13" spans="1:11" x14ac:dyDescent="0.35">
      <c r="A13" s="33"/>
      <c r="B13" s="31"/>
      <c r="C13" s="31"/>
      <c r="D13" s="31"/>
      <c r="E13" s="35"/>
      <c r="F13" s="31"/>
      <c r="G13" s="36"/>
      <c r="H13" s="31"/>
    </row>
    <row r="14" spans="1:11" x14ac:dyDescent="0.35">
      <c r="A14" s="33"/>
      <c r="B14" s="31"/>
      <c r="C14" s="31"/>
      <c r="D14" s="31"/>
      <c r="E14" s="35"/>
      <c r="F14" s="31"/>
      <c r="G14" s="36"/>
      <c r="H14" s="31"/>
    </row>
    <row r="15" spans="1:11" x14ac:dyDescent="0.35">
      <c r="A15" s="33"/>
      <c r="B15" s="31"/>
      <c r="C15" s="31"/>
      <c r="D15" s="31"/>
      <c r="E15" s="35"/>
      <c r="F15" s="31"/>
      <c r="G15" s="36"/>
      <c r="H15" s="31"/>
    </row>
    <row r="16" spans="1:11" x14ac:dyDescent="0.35">
      <c r="A16" s="33"/>
      <c r="B16" s="31"/>
      <c r="C16" s="31"/>
      <c r="D16" s="31"/>
      <c r="E16" s="35"/>
      <c r="F16" s="31"/>
      <c r="G16" s="36"/>
      <c r="H16" s="31"/>
    </row>
    <row r="17" spans="1:8" x14ac:dyDescent="0.35">
      <c r="A17" s="33"/>
      <c r="B17" s="31"/>
      <c r="C17" s="31"/>
      <c r="D17" s="31"/>
      <c r="E17" s="35"/>
      <c r="F17" s="31"/>
      <c r="G17" s="36"/>
      <c r="H17" s="31"/>
    </row>
    <row r="18" spans="1:8" x14ac:dyDescent="0.35">
      <c r="A18" s="34" t="s">
        <v>142</v>
      </c>
      <c r="B18" s="31"/>
      <c r="C18" s="31"/>
      <c r="D18" s="31"/>
      <c r="E18" s="43">
        <f>SUM(E12:F17)</f>
        <v>2793</v>
      </c>
      <c r="F18" s="31"/>
      <c r="G18" s="41"/>
      <c r="H18" s="31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8" t="s">
        <v>143</v>
      </c>
      <c r="C20" s="31"/>
      <c r="D20" s="31"/>
      <c r="E20" s="31"/>
      <c r="F20" s="31"/>
      <c r="G20" s="31"/>
      <c r="H20" s="31"/>
    </row>
    <row r="23" spans="1:8" x14ac:dyDescent="0.35">
      <c r="A23" s="12" t="s">
        <v>144</v>
      </c>
      <c r="B23" s="32"/>
      <c r="C23" s="31"/>
      <c r="E23" s="12" t="s">
        <v>145</v>
      </c>
      <c r="F23" s="32"/>
      <c r="G23" s="31"/>
      <c r="H23" s="31"/>
    </row>
    <row r="25" spans="1:8" x14ac:dyDescent="0.35">
      <c r="A25" s="12" t="s">
        <v>146</v>
      </c>
      <c r="B25" s="32"/>
      <c r="C25" s="31"/>
    </row>
    <row r="27" spans="1:8" x14ac:dyDescent="0.35">
      <c r="A27" s="12" t="s">
        <v>147</v>
      </c>
      <c r="B27" s="32"/>
      <c r="C27" s="31"/>
    </row>
    <row r="30" spans="1:8" x14ac:dyDescent="0.35">
      <c r="A30" s="30" t="s">
        <v>148</v>
      </c>
      <c r="B30" s="31"/>
      <c r="C30" s="31"/>
      <c r="D30" s="31"/>
      <c r="E30" s="31"/>
      <c r="F30" s="31"/>
      <c r="G30" s="31"/>
      <c r="H30" s="31"/>
    </row>
  </sheetData>
  <mergeCells count="36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A30:H30"/>
    <mergeCell ref="B25:C25"/>
    <mergeCell ref="A16:D16"/>
    <mergeCell ref="A18:D18"/>
    <mergeCell ref="E16:F16"/>
    <mergeCell ref="G16:H16"/>
  </mergeCells>
  <dataValidations count="1">
    <dataValidation type="list" sqref="K4" xr:uid="{00000000-0002-0000-03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45" t="s">
        <v>149</v>
      </c>
      <c r="B2" s="31"/>
      <c r="C2" s="31"/>
      <c r="D2" s="31"/>
      <c r="E2" s="31"/>
      <c r="F2" s="31"/>
      <c r="G2" s="31"/>
      <c r="H2" s="31"/>
      <c r="J2" s="42" t="s">
        <v>128</v>
      </c>
      <c r="K2" s="31"/>
    </row>
    <row r="3" spans="1:11" x14ac:dyDescent="0.35">
      <c r="A3" s="4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4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150</v>
      </c>
      <c r="B7" s="33" t="s">
        <v>132</v>
      </c>
      <c r="C7" s="31"/>
      <c r="D7" s="31"/>
      <c r="E7" s="31"/>
      <c r="G7" s="17" t="s">
        <v>151</v>
      </c>
      <c r="H7" s="18" t="str">
        <f>K7</f>
        <v>RV/NEK/BOC/202607/014</v>
      </c>
      <c r="J7" s="15" t="s">
        <v>134</v>
      </c>
      <c r="K7" s="19" t="str">
        <f>IF(OR($K$3="",$K$4="",$K$5="",H9=""),"","RV/"&amp;$K$3&amp;"/"&amp;$K$4&amp;"/"&amp;TEXT(H9,"yyyymm")&amp;"/"&amp;TEXT($K$5,"000"))</f>
        <v>RV/NEK/BOC/202607/014</v>
      </c>
    </row>
    <row r="8" spans="1:11" x14ac:dyDescent="0.35">
      <c r="G8" s="17" t="s">
        <v>135</v>
      </c>
      <c r="H8" s="20" t="s">
        <v>136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G9" s="17" t="s">
        <v>138</v>
      </c>
      <c r="H9" s="22">
        <v>46228</v>
      </c>
      <c r="J9" t="s">
        <v>210</v>
      </c>
      <c r="K9" t="str">
        <f>IFERROR(INDEX(_BankAccounts!$E$3:$E$100,MATCH($K$3&amp;"|"&amp;$K$4,_BankAccounts!$A$3:$A$100,0)),"")</f>
        <v>MYR</v>
      </c>
    </row>
    <row r="11" spans="1:11" x14ac:dyDescent="0.35">
      <c r="A11" s="39" t="s">
        <v>139</v>
      </c>
      <c r="B11" s="40"/>
      <c r="C11" s="40"/>
      <c r="D11" s="40"/>
      <c r="E11" s="39" t="str">
        <f>$K$9</f>
        <v>MYR</v>
      </c>
      <c r="F11" s="40"/>
      <c r="G11" s="39" t="s">
        <v>140</v>
      </c>
      <c r="H11" s="40"/>
    </row>
    <row r="12" spans="1:11" x14ac:dyDescent="0.35">
      <c r="A12" s="33" t="s">
        <v>141</v>
      </c>
      <c r="B12" s="31"/>
      <c r="C12" s="31"/>
      <c r="D12" s="31"/>
      <c r="E12" s="35">
        <v>2793</v>
      </c>
      <c r="F12" s="31"/>
      <c r="G12" s="36"/>
      <c r="H12" s="31"/>
    </row>
    <row r="13" spans="1:11" x14ac:dyDescent="0.35">
      <c r="A13" s="33"/>
      <c r="B13" s="31"/>
      <c r="C13" s="31"/>
      <c r="D13" s="31"/>
      <c r="E13" s="35"/>
      <c r="F13" s="31"/>
      <c r="G13" s="36"/>
      <c r="H13" s="31"/>
    </row>
    <row r="14" spans="1:11" x14ac:dyDescent="0.35">
      <c r="A14" s="33"/>
      <c r="B14" s="31"/>
      <c r="C14" s="31"/>
      <c r="D14" s="31"/>
      <c r="E14" s="35"/>
      <c r="F14" s="31"/>
      <c r="G14" s="36"/>
      <c r="H14" s="31"/>
    </row>
    <row r="15" spans="1:11" x14ac:dyDescent="0.35">
      <c r="A15" s="33"/>
      <c r="B15" s="31"/>
      <c r="C15" s="31"/>
      <c r="D15" s="31"/>
      <c r="E15" s="35"/>
      <c r="F15" s="31"/>
      <c r="G15" s="36"/>
      <c r="H15" s="31"/>
    </row>
    <row r="16" spans="1:11" x14ac:dyDescent="0.35">
      <c r="A16" s="33"/>
      <c r="B16" s="31"/>
      <c r="C16" s="31"/>
      <c r="D16" s="31"/>
      <c r="E16" s="35"/>
      <c r="F16" s="31"/>
      <c r="G16" s="36"/>
      <c r="H16" s="31"/>
    </row>
    <row r="17" spans="1:8" x14ac:dyDescent="0.35">
      <c r="A17" s="33"/>
      <c r="B17" s="31"/>
      <c r="C17" s="31"/>
      <c r="D17" s="31"/>
      <c r="E17" s="35"/>
      <c r="F17" s="31"/>
      <c r="G17" s="36"/>
      <c r="H17" s="31"/>
    </row>
    <row r="18" spans="1:8" x14ac:dyDescent="0.35">
      <c r="A18" s="34" t="s">
        <v>142</v>
      </c>
      <c r="B18" s="31"/>
      <c r="C18" s="31"/>
      <c r="D18" s="31"/>
      <c r="E18" s="43">
        <f>SUM(E12:F17)</f>
        <v>2793</v>
      </c>
      <c r="F18" s="31"/>
      <c r="G18" s="41"/>
      <c r="H18" s="31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8" t="s">
        <v>143</v>
      </c>
      <c r="C20" s="31"/>
      <c r="D20" s="31"/>
      <c r="E20" s="31"/>
      <c r="F20" s="31"/>
      <c r="G20" s="31"/>
      <c r="H20" s="31"/>
    </row>
    <row r="23" spans="1:8" x14ac:dyDescent="0.35">
      <c r="A23" s="12" t="s">
        <v>144</v>
      </c>
      <c r="B23" s="32"/>
      <c r="C23" s="31"/>
      <c r="E23" s="12" t="s">
        <v>145</v>
      </c>
      <c r="F23" s="32"/>
      <c r="G23" s="31"/>
      <c r="H23" s="31"/>
    </row>
    <row r="25" spans="1:8" x14ac:dyDescent="0.35">
      <c r="A25" s="12" t="s">
        <v>146</v>
      </c>
      <c r="B25" s="32"/>
      <c r="C25" s="31"/>
    </row>
    <row r="27" spans="1:8" x14ac:dyDescent="0.35">
      <c r="A27" s="12" t="s">
        <v>147</v>
      </c>
      <c r="B27" s="32"/>
      <c r="C27" s="31"/>
    </row>
    <row r="30" spans="1:8" x14ac:dyDescent="0.35">
      <c r="A30" s="30" t="s">
        <v>148</v>
      </c>
      <c r="B30" s="31"/>
      <c r="C30" s="31"/>
      <c r="D30" s="31"/>
      <c r="E30" s="31"/>
      <c r="F30" s="31"/>
      <c r="G30" s="31"/>
      <c r="H30" s="31"/>
    </row>
  </sheetData>
  <mergeCells count="36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A30:H30"/>
    <mergeCell ref="B25:C25"/>
    <mergeCell ref="A16:D16"/>
    <mergeCell ref="A18:D18"/>
    <mergeCell ref="E16:F16"/>
    <mergeCell ref="G16:H16"/>
  </mergeCells>
  <dataValidations count="1">
    <dataValidation type="list" sqref="K4" xr:uid="{00000000-0002-0000-04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5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45" t="s">
        <v>152</v>
      </c>
      <c r="B2" s="31"/>
      <c r="C2" s="31"/>
      <c r="D2" s="31"/>
      <c r="E2" s="31"/>
      <c r="F2" s="31"/>
      <c r="G2" s="31"/>
      <c r="H2" s="31"/>
      <c r="J2" s="42" t="s">
        <v>128</v>
      </c>
      <c r="K2" s="31"/>
    </row>
    <row r="3" spans="1:11" x14ac:dyDescent="0.35">
      <c r="A3" s="4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4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108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Malayan Banking Berhad (Maybank)</v>
      </c>
    </row>
    <row r="7" spans="1:11" x14ac:dyDescent="0.35">
      <c r="A7" s="4" t="s">
        <v>153</v>
      </c>
      <c r="G7" s="17" t="s">
        <v>154</v>
      </c>
      <c r="H7" s="18" t="str">
        <f>K7</f>
        <v>INV/NEK/MBB/202607/014</v>
      </c>
      <c r="J7" s="15" t="s">
        <v>134</v>
      </c>
      <c r="K7" s="19" t="str">
        <f>IF(OR($K$3="",$K$4="",$K$5="",H8=""),"","INV/"&amp;$K$3&amp;"/"&amp;$K$4&amp;"/"&amp;TEXT(H8,"yyyymm")&amp;"/"&amp;TEXT($K$5,"000"))</f>
        <v>INV/NEK/MBB/202607/014</v>
      </c>
    </row>
    <row r="8" spans="1:11" x14ac:dyDescent="0.35">
      <c r="A8" s="33" t="s">
        <v>132</v>
      </c>
      <c r="B8" s="31"/>
      <c r="C8" s="31"/>
      <c r="D8" s="31"/>
      <c r="E8" s="31"/>
      <c r="G8" s="17" t="s">
        <v>138</v>
      </c>
      <c r="H8" s="22">
        <v>46204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A9" s="47" t="s">
        <v>155</v>
      </c>
      <c r="B9" s="31"/>
      <c r="C9" s="31"/>
      <c r="D9" s="31"/>
      <c r="E9" s="31"/>
      <c r="J9" t="s">
        <v>210</v>
      </c>
      <c r="K9" t="str">
        <f>IFERROR(INDEX(_BankAccounts!$E$3:$E$100,MATCH($K$3&amp;"|"&amp;$K$4,_BankAccounts!$A$3:$A$100,0)),"")</f>
        <v>MYR</v>
      </c>
    </row>
    <row r="11" spans="1:11" x14ac:dyDescent="0.35">
      <c r="A11" s="39" t="s">
        <v>156</v>
      </c>
      <c r="B11" s="40"/>
      <c r="C11" s="39" t="s">
        <v>157</v>
      </c>
      <c r="D11" s="40"/>
      <c r="E11" s="40"/>
      <c r="F11" s="40"/>
      <c r="G11" s="39" t="str">
        <f>IF($K$9="","AMOUNT","AMOUNT ("&amp;$K$9&amp;")")</f>
        <v>AMOUNT (MYR)</v>
      </c>
      <c r="H11" s="40"/>
    </row>
    <row r="12" spans="1:11" x14ac:dyDescent="0.35">
      <c r="A12" s="36">
        <v>1</v>
      </c>
      <c r="B12" s="31"/>
      <c r="C12" s="33" t="s">
        <v>158</v>
      </c>
      <c r="D12" s="31"/>
      <c r="E12" s="31"/>
      <c r="F12" s="31"/>
      <c r="G12" s="35">
        <v>9000</v>
      </c>
      <c r="H12" s="31"/>
    </row>
    <row r="13" spans="1:11" x14ac:dyDescent="0.35">
      <c r="A13" s="36"/>
      <c r="B13" s="31"/>
      <c r="C13" s="33"/>
      <c r="D13" s="31"/>
      <c r="E13" s="31"/>
      <c r="F13" s="31"/>
      <c r="G13" s="35"/>
      <c r="H13" s="31"/>
    </row>
    <row r="14" spans="1:11" x14ac:dyDescent="0.35">
      <c r="A14" s="36"/>
      <c r="B14" s="31"/>
      <c r="C14" s="33"/>
      <c r="D14" s="31"/>
      <c r="E14" s="31"/>
      <c r="F14" s="31"/>
      <c r="G14" s="35"/>
      <c r="H14" s="31"/>
    </row>
    <row r="15" spans="1:11" x14ac:dyDescent="0.35">
      <c r="A15" s="36"/>
      <c r="B15" s="31"/>
      <c r="C15" s="33"/>
      <c r="D15" s="31"/>
      <c r="E15" s="31"/>
      <c r="F15" s="31"/>
      <c r="G15" s="35"/>
      <c r="H15" s="31"/>
    </row>
    <row r="16" spans="1:11" x14ac:dyDescent="0.35">
      <c r="A16" s="36"/>
      <c r="B16" s="31"/>
      <c r="C16" s="33"/>
      <c r="D16" s="31"/>
      <c r="E16" s="31"/>
      <c r="F16" s="31"/>
      <c r="G16" s="35"/>
      <c r="H16" s="31"/>
    </row>
    <row r="17" spans="1:8" x14ac:dyDescent="0.35">
      <c r="A17" s="36"/>
      <c r="B17" s="31"/>
      <c r="C17" s="33"/>
      <c r="D17" s="31"/>
      <c r="E17" s="31"/>
      <c r="F17" s="31"/>
      <c r="G17" s="35"/>
      <c r="H17" s="31"/>
    </row>
    <row r="18" spans="1:8" x14ac:dyDescent="0.35">
      <c r="A18" s="34" t="s">
        <v>159</v>
      </c>
      <c r="B18" s="31"/>
      <c r="C18" s="31"/>
      <c r="D18" s="31"/>
      <c r="E18" s="31"/>
      <c r="F18" s="31"/>
      <c r="G18" s="43">
        <f>SUM(G12:H17)</f>
        <v>9000</v>
      </c>
      <c r="H18" s="31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8" t="s">
        <v>143</v>
      </c>
      <c r="C20" s="31"/>
      <c r="D20" s="31"/>
      <c r="E20" s="31"/>
      <c r="F20" s="31"/>
      <c r="G20" s="31"/>
      <c r="H20" s="31"/>
    </row>
    <row r="22" spans="1:8" x14ac:dyDescent="0.35">
      <c r="A22" s="46" t="s">
        <v>160</v>
      </c>
      <c r="B22" s="31"/>
      <c r="C22" s="31"/>
      <c r="D22" s="31"/>
      <c r="E22" s="31"/>
      <c r="F22" s="31"/>
      <c r="G22" s="31"/>
      <c r="H22" s="31"/>
    </row>
    <row r="23" spans="1:8" x14ac:dyDescent="0.35">
      <c r="A23" s="46" t="str">
        <f>IF($K$3="","","Bank : "&amp;IFERROR(INDEX(_BankAccounts!$D$3:$D$100,MATCH($K$3&amp;"|"&amp;$K$4,_BankAccounts!$A$3:$A$100,0)),""))</f>
        <v>Bank : Malayan Banking Berhad (Maybank)</v>
      </c>
      <c r="B23" s="31"/>
      <c r="C23" s="31"/>
      <c r="D23" s="31"/>
      <c r="E23" s="31"/>
      <c r="F23" s="31"/>
      <c r="G23" s="31"/>
      <c r="H23" s="31"/>
    </row>
    <row r="25" spans="1:8" x14ac:dyDescent="0.35">
      <c r="A25" s="30" t="s">
        <v>161</v>
      </c>
      <c r="B25" s="31"/>
      <c r="C25" s="31"/>
      <c r="D25" s="31"/>
      <c r="E25" s="31"/>
      <c r="F25" s="31"/>
      <c r="G25" s="31"/>
      <c r="H25" s="31"/>
    </row>
  </sheetData>
  <mergeCells count="34">
    <mergeCell ref="J2:K2"/>
    <mergeCell ref="C12:F12"/>
    <mergeCell ref="A13:B13"/>
    <mergeCell ref="C11:F11"/>
    <mergeCell ref="A9:E9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</mergeCells>
  <dataValidations count="1">
    <dataValidation type="list" sqref="K4" xr:uid="{00000000-0002-0000-05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45" t="s">
        <v>162</v>
      </c>
      <c r="B2" s="31"/>
      <c r="C2" s="31"/>
      <c r="D2" s="31"/>
      <c r="E2" s="31"/>
      <c r="F2" s="31"/>
      <c r="G2" s="31"/>
      <c r="H2" s="31"/>
      <c r="J2" s="42" t="s">
        <v>128</v>
      </c>
      <c r="K2" s="31"/>
    </row>
    <row r="3" spans="1:11" x14ac:dyDescent="0.35">
      <c r="A3" s="4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4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163</v>
      </c>
      <c r="G7" s="17" t="s">
        <v>164</v>
      </c>
      <c r="H7" s="18" t="str">
        <f>K7</f>
        <v>OR/NEK/BOC/202607/014</v>
      </c>
      <c r="J7" s="15" t="s">
        <v>134</v>
      </c>
      <c r="K7" s="19" t="str">
        <f>IF(OR($K$3="",$K$4="",$K$5="",H8=""),"","OR/"&amp;$K$3&amp;"/"&amp;$K$4&amp;"/"&amp;TEXT(H8,"yyyymm")&amp;"/"&amp;TEXT($K$5,"000"))</f>
        <v>OR/NEK/BOC/202607/014</v>
      </c>
    </row>
    <row r="8" spans="1:11" x14ac:dyDescent="0.35">
      <c r="A8" s="33" t="s">
        <v>132</v>
      </c>
      <c r="B8" s="31"/>
      <c r="C8" s="31"/>
      <c r="D8" s="31"/>
      <c r="E8" s="31"/>
      <c r="G8" s="17" t="s">
        <v>138</v>
      </c>
      <c r="H8" s="22">
        <v>46204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A9" s="47" t="s">
        <v>155</v>
      </c>
      <c r="B9" s="31"/>
      <c r="C9" s="31"/>
      <c r="D9" s="31"/>
      <c r="E9" s="31"/>
      <c r="J9" t="s">
        <v>210</v>
      </c>
      <c r="K9" t="str">
        <f>IFERROR(INDEX(_BankAccounts!$E$3:$E$100,MATCH($K$3&amp;"|"&amp;$K$4,_BankAccounts!$A$3:$A$100,0)),"")</f>
        <v>MYR</v>
      </c>
    </row>
    <row r="11" spans="1:11" x14ac:dyDescent="0.35">
      <c r="A11" s="39" t="s">
        <v>156</v>
      </c>
      <c r="B11" s="40"/>
      <c r="C11" s="39" t="s">
        <v>157</v>
      </c>
      <c r="D11" s="40"/>
      <c r="E11" s="40"/>
      <c r="F11" s="40"/>
      <c r="G11" s="39" t="str">
        <f>IF($K$9="","AMOUNT","AMOUNT ("&amp;$K$9&amp;")")</f>
        <v>AMOUNT (MYR)</v>
      </c>
      <c r="H11" s="40"/>
    </row>
    <row r="12" spans="1:11" x14ac:dyDescent="0.35">
      <c r="A12" s="36">
        <v>1</v>
      </c>
      <c r="B12" s="31"/>
      <c r="C12" s="33" t="s">
        <v>158</v>
      </c>
      <c r="D12" s="31"/>
      <c r="E12" s="31"/>
      <c r="F12" s="31"/>
      <c r="G12" s="35">
        <v>9000</v>
      </c>
      <c r="H12" s="31"/>
    </row>
    <row r="13" spans="1:11" x14ac:dyDescent="0.35">
      <c r="A13" s="36"/>
      <c r="B13" s="31"/>
      <c r="C13" s="33"/>
      <c r="D13" s="31"/>
      <c r="E13" s="31"/>
      <c r="F13" s="31"/>
      <c r="G13" s="35"/>
      <c r="H13" s="31"/>
    </row>
    <row r="14" spans="1:11" x14ac:dyDescent="0.35">
      <c r="A14" s="36"/>
      <c r="B14" s="31"/>
      <c r="C14" s="33"/>
      <c r="D14" s="31"/>
      <c r="E14" s="31"/>
      <c r="F14" s="31"/>
      <c r="G14" s="35"/>
      <c r="H14" s="31"/>
    </row>
    <row r="15" spans="1:11" x14ac:dyDescent="0.35">
      <c r="A15" s="36"/>
      <c r="B15" s="31"/>
      <c r="C15" s="33"/>
      <c r="D15" s="31"/>
      <c r="E15" s="31"/>
      <c r="F15" s="31"/>
      <c r="G15" s="35"/>
      <c r="H15" s="31"/>
    </row>
    <row r="16" spans="1:11" x14ac:dyDescent="0.35">
      <c r="A16" s="36"/>
      <c r="B16" s="31"/>
      <c r="C16" s="33"/>
      <c r="D16" s="31"/>
      <c r="E16" s="31"/>
      <c r="F16" s="31"/>
      <c r="G16" s="35"/>
      <c r="H16" s="31"/>
    </row>
    <row r="17" spans="1:8" x14ac:dyDescent="0.35">
      <c r="A17" s="36"/>
      <c r="B17" s="31"/>
      <c r="C17" s="33"/>
      <c r="D17" s="31"/>
      <c r="E17" s="31"/>
      <c r="F17" s="31"/>
      <c r="G17" s="35"/>
      <c r="H17" s="31"/>
    </row>
    <row r="18" spans="1:8" x14ac:dyDescent="0.35">
      <c r="A18" s="34" t="s">
        <v>159</v>
      </c>
      <c r="B18" s="31"/>
      <c r="C18" s="31"/>
      <c r="D18" s="31"/>
      <c r="E18" s="31"/>
      <c r="F18" s="31"/>
      <c r="G18" s="43">
        <f>SUM(G12:H17)</f>
        <v>9000</v>
      </c>
      <c r="H18" s="31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8" t="s">
        <v>143</v>
      </c>
      <c r="C20" s="31"/>
      <c r="D20" s="31"/>
      <c r="E20" s="31"/>
      <c r="F20" s="31"/>
      <c r="G20" s="31"/>
      <c r="H20" s="31"/>
    </row>
    <row r="22" spans="1:8" x14ac:dyDescent="0.35">
      <c r="A22" s="4" t="s">
        <v>165</v>
      </c>
      <c r="C22" s="48" t="s">
        <v>166</v>
      </c>
      <c r="D22" s="31"/>
      <c r="E22" s="31"/>
      <c r="F22" s="31"/>
    </row>
    <row r="23" spans="1:8" x14ac:dyDescent="0.35">
      <c r="A23" s="4" t="s">
        <v>167</v>
      </c>
      <c r="C23" s="49" t="str">
        <f>IFERROR(INDEX(_BankAccounts!$D$3:$D$100,MATCH($K$3&amp;"|"&amp;$K$4,_BankAccounts!$A$3:$A$100,0)),"")</f>
        <v>Bank of China (Malaysia) Berhad</v>
      </c>
      <c r="D23" s="31"/>
      <c r="E23" s="31"/>
      <c r="F23" s="31"/>
    </row>
    <row r="24" spans="1:8" x14ac:dyDescent="0.35">
      <c r="A24" s="4" t="s">
        <v>168</v>
      </c>
      <c r="C24" s="48" t="s">
        <v>169</v>
      </c>
      <c r="D24" s="31"/>
      <c r="E24" s="31"/>
      <c r="F24" s="31"/>
    </row>
    <row r="26" spans="1:8" x14ac:dyDescent="0.35">
      <c r="A26" s="50" t="s">
        <v>170</v>
      </c>
      <c r="B26" s="31"/>
      <c r="C26" s="31"/>
      <c r="D26" s="31"/>
      <c r="E26" s="31"/>
      <c r="F26" s="31"/>
      <c r="G26" s="31"/>
      <c r="H26" s="31"/>
    </row>
    <row r="28" spans="1:8" x14ac:dyDescent="0.35">
      <c r="A28" s="30" t="s">
        <v>161</v>
      </c>
      <c r="B28" s="31"/>
      <c r="C28" s="31"/>
      <c r="D28" s="31"/>
      <c r="E28" s="31"/>
      <c r="F28" s="31"/>
      <c r="G28" s="31"/>
      <c r="H28" s="31"/>
    </row>
  </sheetData>
  <mergeCells count="36"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  <mergeCell ref="C24:F24"/>
    <mergeCell ref="G18:H18"/>
    <mergeCell ref="C14:F14"/>
    <mergeCell ref="A12:B12"/>
    <mergeCell ref="C23:F23"/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</mergeCells>
  <dataValidations count="1">
    <dataValidation type="list" sqref="K4" xr:uid="{00000000-0002-0000-06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29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J1" s="10" t="s">
        <v>126</v>
      </c>
      <c r="K1" s="11"/>
    </row>
    <row r="2" spans="1:11" ht="20" customHeight="1" x14ac:dyDescent="0.35">
      <c r="A2" s="45" t="s">
        <v>171</v>
      </c>
      <c r="B2" s="31"/>
      <c r="C2" s="31"/>
      <c r="D2" s="31"/>
      <c r="E2" s="31"/>
      <c r="F2" s="31"/>
      <c r="G2" s="31"/>
      <c r="J2" s="42" t="s">
        <v>128</v>
      </c>
      <c r="K2" s="31"/>
    </row>
    <row r="3" spans="1:11" x14ac:dyDescent="0.35">
      <c r="A3" s="4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J3" s="12" t="s">
        <v>52</v>
      </c>
      <c r="K3" s="13" t="s">
        <v>59</v>
      </c>
    </row>
    <row r="4" spans="1:11" x14ac:dyDescent="0.35">
      <c r="A4" s="4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172</v>
      </c>
      <c r="B7" s="48" t="s">
        <v>173</v>
      </c>
      <c r="C7" s="31"/>
      <c r="E7" s="4" t="s">
        <v>174</v>
      </c>
      <c r="F7" s="48" t="s">
        <v>175</v>
      </c>
      <c r="G7" s="31"/>
      <c r="J7" s="15" t="s">
        <v>134</v>
      </c>
      <c r="K7" s="19" t="str">
        <f>IF(OR($K$3="",$K$4="",$K$5="",$K$9=""),"","SAL/"&amp;$K$3&amp;"/"&amp;$K$4&amp;"/"&amp;TEXT($K$9,"yyyymm")&amp;"/"&amp;TEXT($K$5,"000"))</f>
        <v>SAL/NEK/BOC/202607/014</v>
      </c>
    </row>
    <row r="8" spans="1:11" x14ac:dyDescent="0.35">
      <c r="A8" s="4" t="s">
        <v>176</v>
      </c>
      <c r="B8" s="48" t="s">
        <v>177</v>
      </c>
      <c r="C8" s="31"/>
      <c r="E8" s="4" t="s">
        <v>178</v>
      </c>
      <c r="F8" s="36" t="s">
        <v>63</v>
      </c>
      <c r="G8" s="31"/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E9" s="12" t="s">
        <v>179</v>
      </c>
      <c r="F9" s="51" t="str">
        <f>K7</f>
        <v>SAL/NEK/BOC/202607/014</v>
      </c>
      <c r="G9" s="31"/>
      <c r="J9" s="12" t="s">
        <v>180</v>
      </c>
      <c r="K9" s="23">
        <v>46228</v>
      </c>
    </row>
    <row r="10" spans="1:11" x14ac:dyDescent="0.35">
      <c r="A10" s="52" t="s">
        <v>181</v>
      </c>
      <c r="B10" s="31"/>
      <c r="C10" s="31"/>
      <c r="E10" s="52" t="s">
        <v>182</v>
      </c>
      <c r="F10" s="31"/>
      <c r="G10" s="31"/>
    </row>
    <row r="11" spans="1:11" x14ac:dyDescent="0.35">
      <c r="A11" s="24" t="s">
        <v>183</v>
      </c>
      <c r="B11" s="24" t="s">
        <v>63</v>
      </c>
      <c r="C11" s="25">
        <v>6500</v>
      </c>
      <c r="E11" s="24" t="s">
        <v>184</v>
      </c>
      <c r="F11" s="24" t="s">
        <v>63</v>
      </c>
      <c r="G11" s="25">
        <v>816</v>
      </c>
    </row>
    <row r="12" spans="1:11" x14ac:dyDescent="0.35">
      <c r="A12" s="24" t="s">
        <v>185</v>
      </c>
      <c r="B12" s="24" t="s">
        <v>63</v>
      </c>
      <c r="C12" s="25">
        <v>300</v>
      </c>
      <c r="E12" s="24" t="s">
        <v>186</v>
      </c>
      <c r="F12" s="24" t="s">
        <v>63</v>
      </c>
      <c r="G12" s="25">
        <v>104.15</v>
      </c>
    </row>
    <row r="13" spans="1:11" x14ac:dyDescent="0.35">
      <c r="E13" s="24" t="s">
        <v>187</v>
      </c>
      <c r="F13" s="24" t="s">
        <v>63</v>
      </c>
      <c r="G13" s="25">
        <v>11.9</v>
      </c>
    </row>
    <row r="14" spans="1:11" x14ac:dyDescent="0.35">
      <c r="A14" s="4" t="s">
        <v>188</v>
      </c>
      <c r="B14" s="4" t="s">
        <v>63</v>
      </c>
      <c r="C14" s="26">
        <f>C11+C12</f>
        <v>6800</v>
      </c>
      <c r="E14" s="4" t="s">
        <v>189</v>
      </c>
      <c r="F14" s="4" t="s">
        <v>63</v>
      </c>
      <c r="G14" s="26">
        <f>SUM(G11:G13)</f>
        <v>932.05</v>
      </c>
    </row>
    <row r="16" spans="1:11" x14ac:dyDescent="0.35">
      <c r="A16" s="52" t="s">
        <v>190</v>
      </c>
      <c r="B16" s="31"/>
      <c r="C16" s="31"/>
    </row>
    <row r="17" spans="1:7" x14ac:dyDescent="0.35">
      <c r="A17" s="24" t="s">
        <v>191</v>
      </c>
      <c r="B17" s="24" t="s">
        <v>63</v>
      </c>
      <c r="C17" s="25">
        <v>748</v>
      </c>
    </row>
    <row r="18" spans="1:7" x14ac:dyDescent="0.35">
      <c r="A18" s="24" t="s">
        <v>192</v>
      </c>
      <c r="B18" s="24" t="s">
        <v>63</v>
      </c>
      <c r="C18" s="25">
        <v>29.75</v>
      </c>
    </row>
    <row r="19" spans="1:7" x14ac:dyDescent="0.35">
      <c r="A19" s="24" t="s">
        <v>193</v>
      </c>
      <c r="B19" s="24" t="s">
        <v>63</v>
      </c>
      <c r="C19" s="25">
        <v>11.9</v>
      </c>
    </row>
    <row r="20" spans="1:7" x14ac:dyDescent="0.35">
      <c r="A20" s="24" t="s">
        <v>194</v>
      </c>
      <c r="B20" s="24" t="s">
        <v>63</v>
      </c>
      <c r="C20" s="25">
        <v>44.65</v>
      </c>
    </row>
    <row r="21" spans="1:7" x14ac:dyDescent="0.35">
      <c r="A21" s="24" t="s">
        <v>195</v>
      </c>
      <c r="B21" s="24" t="s">
        <v>63</v>
      </c>
      <c r="C21" s="25">
        <v>295.5</v>
      </c>
    </row>
    <row r="22" spans="1:7" x14ac:dyDescent="0.35">
      <c r="A22" s="4" t="s">
        <v>196</v>
      </c>
      <c r="B22" s="4" t="s">
        <v>63</v>
      </c>
      <c r="C22" s="26">
        <f>SUM(C17:C21)</f>
        <v>1129.8</v>
      </c>
    </row>
    <row r="24" spans="1:7" x14ac:dyDescent="0.35">
      <c r="A24" s="52" t="s">
        <v>197</v>
      </c>
      <c r="B24" s="31"/>
      <c r="C24" s="31"/>
    </row>
    <row r="25" spans="1:7" x14ac:dyDescent="0.35">
      <c r="A25" s="24" t="s">
        <v>188</v>
      </c>
      <c r="B25" t="s">
        <v>63</v>
      </c>
      <c r="C25" s="27">
        <f>C14</f>
        <v>6800</v>
      </c>
    </row>
    <row r="26" spans="1:7" x14ac:dyDescent="0.35">
      <c r="A26" s="24" t="s">
        <v>198</v>
      </c>
      <c r="B26" t="s">
        <v>63</v>
      </c>
      <c r="C26" s="27">
        <f>C22</f>
        <v>1129.8</v>
      </c>
    </row>
    <row r="27" spans="1:7" x14ac:dyDescent="0.35">
      <c r="A27" s="28" t="s">
        <v>199</v>
      </c>
      <c r="B27" s="28" t="s">
        <v>63</v>
      </c>
      <c r="C27" s="29">
        <f>C25-C26</f>
        <v>5670.2</v>
      </c>
    </row>
    <row r="29" spans="1:7" x14ac:dyDescent="0.35">
      <c r="A29" s="30" t="s">
        <v>200</v>
      </c>
      <c r="B29" s="31"/>
      <c r="C29" s="31"/>
      <c r="D29" s="31"/>
      <c r="E29" s="31"/>
      <c r="F29" s="31"/>
      <c r="G29" s="31"/>
    </row>
  </sheetData>
  <mergeCells count="15">
    <mergeCell ref="A29:G29"/>
    <mergeCell ref="B8:C8"/>
    <mergeCell ref="A24:C24"/>
    <mergeCell ref="A16:C16"/>
    <mergeCell ref="F7:G7"/>
    <mergeCell ref="F8:G8"/>
    <mergeCell ref="A10:C10"/>
    <mergeCell ref="E10:G10"/>
    <mergeCell ref="A1:G1"/>
    <mergeCell ref="B7:C7"/>
    <mergeCell ref="F9:G9"/>
    <mergeCell ref="A3:G3"/>
    <mergeCell ref="J2:K2"/>
    <mergeCell ref="A4:G4"/>
    <mergeCell ref="A2:G2"/>
  </mergeCells>
  <dataValidations count="1">
    <dataValidation type="list" sqref="K4" xr:uid="{00000000-0002-0000-07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2026-07-31T10:30:18Z</dcterms:modified>
</cp:coreProperties>
</file>