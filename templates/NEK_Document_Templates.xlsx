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laude Cowork\NEK\templates\"/>
    </mc:Choice>
  </mc:AlternateContent>
  <xr:revisionPtr revIDLastSave="0" documentId="13_ncr:1_{B21AD657-4AAE-4F25-ACE9-952580B1F8E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00 House Style" sheetId="1" r:id="rId1"/>
    <sheet name="_Currency" sheetId="9" state="veryHidden" r:id="rId2"/>
    <sheet name="_EntityData" sheetId="2" r:id="rId3"/>
    <sheet name="_BankAccounts" sheetId="3" r:id="rId4"/>
    <sheet name="Payment Voucher" sheetId="4" r:id="rId5"/>
    <sheet name="Receiving Voucher" sheetId="5" r:id="rId6"/>
    <sheet name="Invoice" sheetId="6" r:id="rId7"/>
    <sheet name="Official Receipt" sheetId="7" r:id="rId8"/>
    <sheet name="Salary Slip" sheetId="8" r:id="rId9"/>
  </sheets>
  <definedNames>
    <definedName name="_xlnm.Print_Area" localSheetId="6">Invoice!$A$1:$H$25</definedName>
    <definedName name="_xlnm.Print_Area" localSheetId="7">'Official Receipt'!$A$1:$H$28</definedName>
    <definedName name="_xlnm.Print_Area" localSheetId="4">'Payment Voucher'!$A$1:$H$30</definedName>
    <definedName name="_xlnm.Print_Area" localSheetId="5">'Receiving Voucher'!$A$1:$H$30</definedName>
    <definedName name="_xlnm.Print_Area" localSheetId="8">'Salary Slip'!$A$1:$G$29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8" l="1"/>
  <c r="A3" i="8"/>
  <c r="A2" i="8"/>
  <c r="A1" i="8"/>
  <c r="A4" i="7"/>
  <c r="A3" i="7"/>
  <c r="A2" i="7"/>
  <c r="A1" i="7"/>
  <c r="A4" i="6"/>
  <c r="A3" i="6"/>
  <c r="A2" i="6"/>
  <c r="A1" i="6"/>
  <c r="A4" i="5"/>
  <c r="A3" i="5"/>
  <c r="A2" i="5"/>
  <c r="A1" i="5"/>
  <c r="A4" i="4"/>
  <c r="A3" i="4"/>
  <c r="A2" i="4"/>
  <c r="A1" i="4"/>
  <c r="A20" i="7"/>
  <c r="G11" i="7"/>
  <c r="K9" i="7"/>
  <c r="A20" i="6"/>
  <c r="G11" i="6"/>
  <c r="K9" i="6"/>
  <c r="A20" i="5"/>
  <c r="E11" i="5"/>
  <c r="K9" i="5"/>
  <c r="A20" i="4"/>
  <c r="E11" i="4"/>
  <c r="K9" i="4"/>
  <c r="K8" i="8"/>
  <c r="K6" i="8"/>
  <c r="C23" i="7"/>
  <c r="K8" i="7"/>
  <c r="K6" i="7"/>
  <c r="A23" i="6"/>
  <c r="K8" i="6"/>
  <c r="K6" i="6"/>
  <c r="K8" i="5"/>
  <c r="K6" i="5"/>
  <c r="K8" i="4"/>
  <c r="K6" i="4"/>
  <c r="C22" i="8"/>
  <c r="C26" i="8" s="1"/>
  <c r="G14" i="8"/>
  <c r="C14" i="8"/>
  <c r="C25" i="8" s="1"/>
  <c r="C27" i="8" s="1"/>
  <c r="K7" i="8"/>
  <c r="F9" i="8" s="1"/>
  <c r="G18" i="7"/>
  <c r="K7" i="7"/>
  <c r="H7" i="7" s="1"/>
  <c r="G18" i="6"/>
  <c r="K7" i="6"/>
  <c r="H7" i="6" s="1"/>
  <c r="E18" i="5"/>
  <c r="K7" i="5"/>
  <c r="G7" i="5" s="1"/>
  <c r="E18" i="4"/>
  <c r="K7" i="4"/>
  <c r="G7" i="4" s="1"/>
</calcChain>
</file>

<file path=xl/sharedStrings.xml><?xml version="1.0" encoding="utf-8"?>
<sst xmlns="http://schemas.openxmlformats.org/spreadsheetml/2006/main" count="397" uniqueCount="210">
  <si>
    <t>NEK GROUP — DOCUMENT HOUSE STYLE</t>
  </si>
  <si>
    <t>The fixed standard for every finance document template.</t>
  </si>
  <si>
    <t>TYPOGRAPHY &amp; NUMBERS</t>
  </si>
  <si>
    <t>Font</t>
  </si>
  <si>
    <t>Arial throughout.</t>
  </si>
  <si>
    <t>Currency label</t>
  </si>
  <si>
    <t>MYR as the label. 'Ringgit Malaysia' only in the amount-in-words line.</t>
  </si>
  <si>
    <t>Amount format</t>
  </si>
  <si>
    <t>Accounting, two decimals: #,##0.00.</t>
  </si>
  <si>
    <t>Date format</t>
  </si>
  <si>
    <t>YYYY-MM-DD everywhere.</t>
  </si>
  <si>
    <t>ENTITY &amp; LETTERHEAD</t>
  </si>
  <si>
    <t>Driven by</t>
  </si>
  <si>
    <t>Entity Code. Letterhead looked up, never typed.</t>
  </si>
  <si>
    <t>Header shows</t>
  </si>
  <si>
    <t>Full legal name, Co. Reg. No., office address, Tel &amp; Email.</t>
  </si>
  <si>
    <t>Contact line</t>
  </si>
  <si>
    <t>Tel: 012-4820853   Email: nekgroup84@gmail.com  (no fax).</t>
  </si>
  <si>
    <t>Source of truth</t>
  </si>
  <si>
    <t>Master register. _EntityData / _BankAccounts here are an interim mirror until generation is automated.</t>
  </si>
  <si>
    <t>REFERENCE NUMBER SCHEME</t>
  </si>
  <si>
    <t>Format</t>
  </si>
  <si>
    <t>DOCTYPE / ENTITY / BANKCODE / YYYYMM / NNN</t>
  </si>
  <si>
    <t>Example</t>
  </si>
  <si>
    <t>PV/NEK/BOC/202607/014</t>
  </si>
  <si>
    <t>Bank code</t>
  </si>
  <si>
    <t>The account the money is paid from (PV) or into (OR, INV). Codes live in the Bank Account register.</t>
  </si>
  <si>
    <t>NNN</t>
  </si>
  <si>
    <t>Sequential per doc type per entity, reset to 001 each calendar year. YYYYMM records the month.</t>
  </si>
  <si>
    <t>Doc type codes</t>
  </si>
  <si>
    <t>PV = Payment Voucher · RV = Receiving Voucher · OR = Official Receipt · INV = Invoice · SAL = Salary Slip</t>
  </si>
  <si>
    <t>IMPORTANT — this reference (with slashes) is what prints on the document. A FILE name cannot contain '/', so when a document is saved the slashes become hyphens, e.g. reference PV/NEK/BOC/202607/014 -&gt; file ...PV-NEK-BOC-202607-014.pdf, inside the YYYY-MM-DD_ENTITY_DOCTYPE_... convention. The automation handles this conversion.</t>
  </si>
  <si>
    <t>DOCUMENT FAMILIES</t>
  </si>
  <si>
    <t>Outward-facing</t>
  </si>
  <si>
    <t>Invoice (INV), Official Receipt (OR). Branded letterhead, no signatory block.</t>
  </si>
  <si>
    <t>Internal control</t>
  </si>
  <si>
    <t>Payment Voucher (PV), Receiving Voucher (RV). Prepared / Issued / Approved / Received block.</t>
  </si>
  <si>
    <t>Employee-facing</t>
  </si>
  <si>
    <t>Salary Slip (SAL). No signatory block.</t>
  </si>
  <si>
    <t>PAGE SETUP &amp; FOOTER</t>
  </si>
  <si>
    <t>Paper</t>
  </si>
  <si>
    <t>A4 portrait, fit to 1 page wide, print area = document body only.</t>
  </si>
  <si>
    <t>Margins</t>
  </si>
  <si>
    <t>0.5" sides, 0.6" top/bottom.</t>
  </si>
  <si>
    <t>Footer</t>
  </si>
  <si>
    <t>'Computer-generated' line on outward + salary docs; signatory block on internal vouchers.</t>
  </si>
  <si>
    <t>FILLING A TEMPLATE</t>
  </si>
  <si>
    <t>Yellow cells</t>
  </si>
  <si>
    <t>Input. Everything else is a formula.</t>
  </si>
  <si>
    <t>Control panel</t>
  </si>
  <si>
    <t>Yellow panel to the right: Entity Code, Bank Code, Running No. Fill it and the letterhead + reference build themselves. It sits outside the print area. A warning shows if the bank code isn't linked to the entity.</t>
  </si>
  <si>
    <t>ENTITY LOOKUP — interim mirror of the Entity register.</t>
  </si>
  <si>
    <t>Entity Code</t>
  </si>
  <si>
    <t>Legal Name</t>
  </si>
  <si>
    <t>Co. Reg. No.</t>
  </si>
  <si>
    <t>Office Address</t>
  </si>
  <si>
    <t>Currency</t>
  </si>
  <si>
    <t>Tel</t>
  </si>
  <si>
    <t>Email</t>
  </si>
  <si>
    <t>NEK</t>
  </si>
  <si>
    <t>Ng Eng Kee &amp; Sons Sdn Bhd</t>
  </si>
  <si>
    <t>198401003022 (115540-H)</t>
  </si>
  <si>
    <t>51-10-E, Menara BHL, Jalan Sultan Ahmad Shah, 10050 Georgetown, Penang, Malaysia</t>
  </si>
  <si>
    <t>MYR</t>
  </si>
  <si>
    <t>012-4820853</t>
  </si>
  <si>
    <t>nekgroup84@gmail.com</t>
  </si>
  <si>
    <t>NEKGV</t>
  </si>
  <si>
    <t>NEK Global Venture Sdn Bhd</t>
  </si>
  <si>
    <t>201701005849 (1220014-K)</t>
  </si>
  <si>
    <t>MDL</t>
  </si>
  <si>
    <t>Marque De Luxe Sdn Bhd</t>
  </si>
  <si>
    <t>201801034932 (1296959-W)</t>
  </si>
  <si>
    <t>HHIL</t>
  </si>
  <si>
    <t>Honour Harvest International Limited</t>
  </si>
  <si>
    <t>202002000010 (995780-D)</t>
  </si>
  <si>
    <t>NGCS</t>
  </si>
  <si>
    <t>NGCS Capital Sdn Bhd</t>
  </si>
  <si>
    <t>202201029491 (1475188-H)</t>
  </si>
  <si>
    <t>NCLCAP</t>
  </si>
  <si>
    <t>NCL Capital Sdn Bhd</t>
  </si>
  <si>
    <t>202201030761 (1476458-K)</t>
  </si>
  <si>
    <t>SBOXCAP</t>
  </si>
  <si>
    <t>Sandbox Capital Sdn Bhd</t>
  </si>
  <si>
    <t>202101001994</t>
  </si>
  <si>
    <t>SBOXAI</t>
  </si>
  <si>
    <t>Sandbox AI Ventures Sdn Bhd</t>
  </si>
  <si>
    <t>202301011872 (1505794-W)</t>
  </si>
  <si>
    <t>NCL</t>
  </si>
  <si>
    <t>Ng Chong Lam</t>
  </si>
  <si>
    <t>33, Denai Bayu 2, Jalan Seri Tanjung Pinang, 10470 Tanjung Tokong, Penang, Malaysia</t>
  </si>
  <si>
    <t>HKD</t>
  </si>
  <si>
    <t>CSK</t>
  </si>
  <si>
    <t>Chiang Sau Kuen</t>
  </si>
  <si>
    <t>WT</t>
  </si>
  <si>
    <t>Wintrace Investment</t>
  </si>
  <si>
    <t>USD</t>
  </si>
  <si>
    <t>BANK LOOKUP — interim mirror of the Bank Account register. Key = Entity|BankCode.</t>
  </si>
  <si>
    <t>Key</t>
  </si>
  <si>
    <t>Bank Code</t>
  </si>
  <si>
    <t>Bank Name</t>
  </si>
  <si>
    <t>Account Name</t>
  </si>
  <si>
    <t>Account No.</t>
  </si>
  <si>
    <t>NEK|BOC</t>
  </si>
  <si>
    <t>BOC</t>
  </si>
  <si>
    <t>Bank of China (Malaysia) Berhad</t>
  </si>
  <si>
    <t>[account name]</t>
  </si>
  <si>
    <t>[to confirm]</t>
  </si>
  <si>
    <t>NEK|MBB</t>
  </si>
  <si>
    <t>MBB</t>
  </si>
  <si>
    <t>Malayan Banking Berhad (Maybank)</t>
  </si>
  <si>
    <t>NEKGV|UOB</t>
  </si>
  <si>
    <t>UOB</t>
  </si>
  <si>
    <t>United Overseas Bank (Malaysia)</t>
  </si>
  <si>
    <t>MDL|UOB</t>
  </si>
  <si>
    <t>HHIL|BOC</t>
  </si>
  <si>
    <t>NGCS|OCBC</t>
  </si>
  <si>
    <t>OCBC</t>
  </si>
  <si>
    <t>OCBC Bank (Malaysia) Berhad</t>
  </si>
  <si>
    <t>NCLCAP|BOC</t>
  </si>
  <si>
    <t>SBOXCAP|UOB</t>
  </si>
  <si>
    <t>SBOXAI|UOB</t>
  </si>
  <si>
    <t>NCL|BOCOM</t>
  </si>
  <si>
    <t>BOCOM</t>
  </si>
  <si>
    <t>Bank of Communications (Hong Kong)</t>
  </si>
  <si>
    <t>WT|TBC</t>
  </si>
  <si>
    <t>TBC</t>
  </si>
  <si>
    <t>CONTROL PANEL</t>
  </si>
  <si>
    <t>PAYMENT VOUCHER</t>
  </si>
  <si>
    <t>Fill yellow cells; document updates itself.</t>
  </si>
  <si>
    <t>Running No.</t>
  </si>
  <si>
    <t>Bank (from code)</t>
  </si>
  <si>
    <t>PAY TO :</t>
  </si>
  <si>
    <t>[name]</t>
  </si>
  <si>
    <t>PV NO :</t>
  </si>
  <si>
    <t>Reference (auto)</t>
  </si>
  <si>
    <t>IBG</t>
  </si>
  <si>
    <t>Check</t>
  </si>
  <si>
    <t>DATE :</t>
  </si>
  <si>
    <t>IN PAYMENT FOR</t>
  </si>
  <si>
    <t>ACCOUNTS CODE</t>
  </si>
  <si>
    <t>EPF Payable — Jul 2026</t>
  </si>
  <si>
    <t>TOTAL</t>
  </si>
  <si>
    <t>[amount in words]</t>
  </si>
  <si>
    <t>ISSUED BY</t>
  </si>
  <si>
    <t>APPROVED BY</t>
  </si>
  <si>
    <t>RECEIVING VOUCHER</t>
  </si>
  <si>
    <t>RECEIVED FM :</t>
  </si>
  <si>
    <t>RV NO :</t>
  </si>
  <si>
    <t>INVOICE</t>
  </si>
  <si>
    <t>Billed To :</t>
  </si>
  <si>
    <t>Invoice No. :</t>
  </si>
  <si>
    <t>[unit / address — from Property or Vendor register]</t>
  </si>
  <si>
    <t>ITEM</t>
  </si>
  <si>
    <t>DESCRIPTION</t>
  </si>
  <si>
    <t>RENTAL (July 2026) — 1G-10-03, Andaman Quayside</t>
  </si>
  <si>
    <t>Total Amount</t>
  </si>
  <si>
    <t>All payments should be crossed and made payable to the company named above.</t>
  </si>
  <si>
    <t>This is a computer-generated document. No signature is required.</t>
  </si>
  <si>
    <t>OFFICIAL RECEIPT</t>
  </si>
  <si>
    <t>Received From :</t>
  </si>
  <si>
    <t>Receipt No. :</t>
  </si>
  <si>
    <t>Payment Mode :</t>
  </si>
  <si>
    <t>Bank Transfer</t>
  </si>
  <si>
    <t>Bank :</t>
  </si>
  <si>
    <t>Transaction Ref :</t>
  </si>
  <si>
    <t>[txn no.]</t>
  </si>
  <si>
    <t>This official receipt is valid only upon clearance of the transaction.</t>
  </si>
  <si>
    <t>MONTHLY SALARY SLIP</t>
  </si>
  <si>
    <t>Payroll Month :</t>
  </si>
  <si>
    <t>July 2026</t>
  </si>
  <si>
    <t>Employee Code :</t>
  </si>
  <si>
    <t>[code]</t>
  </si>
  <si>
    <t>Employee Name :</t>
  </si>
  <si>
    <t>[employee name]</t>
  </si>
  <si>
    <t>Payment Currency :</t>
  </si>
  <si>
    <t>Payslip Ref :</t>
  </si>
  <si>
    <t>Payroll Date</t>
  </si>
  <si>
    <t>EARNINGS</t>
  </si>
  <si>
    <t>EMPLOYER CONTRIBUTIONS</t>
  </si>
  <si>
    <t>Basic Pay</t>
  </si>
  <si>
    <t>Employer's EPF</t>
  </si>
  <si>
    <t>Allowance</t>
  </si>
  <si>
    <t>Employer's SOCSO</t>
  </si>
  <si>
    <t>Employer's EIS</t>
  </si>
  <si>
    <t>Gross Pay</t>
  </si>
  <si>
    <t>Total Employer Contribution</t>
  </si>
  <si>
    <t>DEDUCTIONS</t>
  </si>
  <si>
    <t>EPF - Employee</t>
  </si>
  <si>
    <t>SOCSO - Employee</t>
  </si>
  <si>
    <t>EIS - Employee</t>
  </si>
  <si>
    <t>SOCSO 24-Hour (NEIS)</t>
  </si>
  <si>
    <t>PCB / Income Tax</t>
  </si>
  <si>
    <t>Total Deductions</t>
  </si>
  <si>
    <t>PAY SUMMARY</t>
  </si>
  <si>
    <t>Less: Total Deductions</t>
  </si>
  <si>
    <t>NET PAY</t>
  </si>
  <si>
    <t>This is a computer-generated payslip. No signature is required. For payroll record purposes only.</t>
  </si>
  <si>
    <t>CURRENCY WORDING - written from scripts/amount_in_words.py on every run. Do not hand-edit; the script is the source.</t>
  </si>
  <si>
    <t>Code</t>
  </si>
  <si>
    <t>Major Unit</t>
  </si>
  <si>
    <t>Minor Unit</t>
  </si>
  <si>
    <t>Hong Kong Dollars</t>
  </si>
  <si>
    <t>Cents</t>
  </si>
  <si>
    <t>Ringgit Malaysia</t>
  </si>
  <si>
    <t>Sen</t>
  </si>
  <si>
    <t>US Dollars</t>
  </si>
  <si>
    <t>Currency (auto)</t>
  </si>
  <si>
    <t>Mode of Payment :</t>
  </si>
  <si>
    <t>Signature :</t>
  </si>
  <si>
    <t>CHECKED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</si>
</sst>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27" x14ac:knownFonts="1">
    <font>
      <sz val="11"/>
      <color theme="1"/>
      <name val="Calibri"/>
      <family val="2"/>
      <scheme val="minor"/>
    </font>
    <font>
      <b/>
      <sz val="15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3"/>
      <color theme="1"/>
      <name val="Arial"/>
      <family val="2"/>
    </font>
    <font>
      <sz val="11"/>
      <color rgb="FF000000"/>
      <name val="Arial"/>
      <family val="2"/>
    </font>
    <font>
      <b/>
      <sz val="16"/>
      <color rgb="FF1F3864"/>
      <name val="Arial"/>
      <family val="2"/>
    </font>
    <font>
      <sz val="13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3"/>
      <color rgb="FF000000"/>
      <name val="Arial"/>
      <family val="2"/>
    </font>
    <font>
      <b/>
      <sz val="12"/>
      <color rgb="FF000000"/>
      <name val="Arial"/>
      <family val="2"/>
    </font>
    <font>
      <b/>
      <sz val="15"/>
      <color theme="1"/>
      <name val="Arial"/>
      <family val="2"/>
    </font>
    <font>
      <i/>
      <sz val="10"/>
      <color rgb="FF808080"/>
      <name val="Arial"/>
      <family val="2"/>
    </font>
    <font>
      <sz val="12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C0000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i/>
      <sz val="12"/>
      <color rgb="FF000000"/>
      <name val="Arial"/>
      <family val="2"/>
    </font>
    <font>
      <b/>
      <sz val="13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rgb="FFBFBFBF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FBFB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10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/>
    <xf numFmtId="0" fontId="15" fillId="2" borderId="0" xfId="0" applyFont="1" applyFill="1"/>
    <xf numFmtId="0" fontId="14" fillId="2" borderId="0" xfId="0" applyFont="1" applyFill="1"/>
    <xf numFmtId="0" fontId="16" fillId="0" borderId="0" xfId="0" applyFont="1" applyAlignment="1">
      <alignment horizontal="center" vertical="center" wrapText="1"/>
    </xf>
    <xf numFmtId="0" fontId="9" fillId="0" borderId="0" xfId="0" applyFont="1"/>
    <xf numFmtId="0" fontId="14" fillId="0" borderId="0" xfId="0" applyFont="1"/>
    <xf numFmtId="0" fontId="17" fillId="3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9" fillId="0" borderId="0" xfId="0" applyFont="1"/>
    <xf numFmtId="0" fontId="9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/>
    <xf numFmtId="0" fontId="15" fillId="2" borderId="7" xfId="0" applyFont="1" applyFill="1" applyBorder="1" applyAlignment="1">
      <alignment horizontal="center" vertical="center" wrapText="1"/>
    </xf>
    <xf numFmtId="0" fontId="14" fillId="2" borderId="10" xfId="0" applyFont="1" applyFill="1" applyBorder="1"/>
    <xf numFmtId="0" fontId="20" fillId="3" borderId="5" xfId="0" applyFont="1" applyFill="1" applyBorder="1" applyAlignment="1">
      <alignment horizontal="left" vertical="center" wrapText="1"/>
    </xf>
    <xf numFmtId="0" fontId="14" fillId="0" borderId="4" xfId="0" applyFont="1" applyBorder="1"/>
    <xf numFmtId="43" fontId="20" fillId="3" borderId="4" xfId="0" applyNumberFormat="1" applyFont="1" applyFill="1" applyBorder="1" applyAlignment="1">
      <alignment horizontal="right" vertical="center"/>
    </xf>
    <xf numFmtId="0" fontId="20" fillId="3" borderId="4" xfId="0" applyFont="1" applyFill="1" applyBorder="1" applyAlignment="1">
      <alignment horizontal="center" vertical="center" wrapText="1"/>
    </xf>
    <xf numFmtId="0" fontId="14" fillId="0" borderId="11" xfId="0" applyFont="1" applyBorder="1"/>
    <xf numFmtId="0" fontId="17" fillId="0" borderId="8" xfId="0" applyFont="1" applyBorder="1" applyAlignment="1">
      <alignment horizontal="right" vertical="center"/>
    </xf>
    <xf numFmtId="0" fontId="14" fillId="0" borderId="9" xfId="0" applyFont="1" applyBorder="1"/>
    <xf numFmtId="43" fontId="17" fillId="4" borderId="9" xfId="0" applyNumberFormat="1" applyFont="1" applyFill="1" applyBorder="1" applyAlignment="1">
      <alignment horizontal="right" vertical="center"/>
    </xf>
    <xf numFmtId="0" fontId="14" fillId="0" borderId="12" xfId="0" applyFont="1" applyBorder="1"/>
    <xf numFmtId="0" fontId="23" fillId="5" borderId="15" xfId="0" applyFont="1" applyFill="1" applyBorder="1" applyAlignment="1">
      <alignment horizontal="left" vertical="center" wrapText="1"/>
    </xf>
    <xf numFmtId="0" fontId="23" fillId="5" borderId="13" xfId="0" applyFont="1" applyFill="1" applyBorder="1" applyAlignment="1">
      <alignment horizontal="left" vertical="center" wrapText="1"/>
    </xf>
    <xf numFmtId="0" fontId="23" fillId="5" borderId="14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23" fillId="5" borderId="16" xfId="0" applyFont="1" applyFill="1" applyBorder="1" applyAlignment="1">
      <alignment horizontal="center" vertical="center" wrapText="1"/>
    </xf>
    <xf numFmtId="0" fontId="23" fillId="5" borderId="17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4" fillId="0" borderId="18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14" fillId="0" borderId="18" xfId="0" applyFont="1" applyBorder="1"/>
    <xf numFmtId="0" fontId="19" fillId="0" borderId="0" xfId="0" applyFont="1" applyAlignment="1">
      <alignment horizontal="center" vertical="center" wrapText="1"/>
    </xf>
    <xf numFmtId="0" fontId="17" fillId="4" borderId="1" xfId="0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left" vertical="center" wrapText="1"/>
    </xf>
    <xf numFmtId="164" fontId="20" fillId="3" borderId="1" xfId="0" applyNumberFormat="1" applyFont="1" applyFill="1" applyBorder="1" applyAlignment="1">
      <alignment horizontal="right" vertical="center"/>
    </xf>
    <xf numFmtId="0" fontId="21" fillId="3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20" fillId="3" borderId="1" xfId="0" applyFont="1" applyFill="1" applyBorder="1" applyAlignment="1">
      <alignment horizontal="center" vertical="center" wrapText="1"/>
    </xf>
    <xf numFmtId="43" fontId="20" fillId="3" borderId="1" xfId="0" applyNumberFormat="1" applyFont="1" applyFill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43" fontId="17" fillId="4" borderId="1" xfId="0" applyNumberFormat="1" applyFont="1" applyFill="1" applyBorder="1" applyAlignment="1">
      <alignment horizontal="right" vertical="center"/>
    </xf>
    <xf numFmtId="0" fontId="25" fillId="3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0" fillId="3" borderId="1" xfId="0" applyFont="1" applyFill="1" applyBorder="1"/>
    <xf numFmtId="0" fontId="20" fillId="0" borderId="1" xfId="0" applyFont="1" applyBorder="1"/>
    <xf numFmtId="0" fontId="21" fillId="0" borderId="0" xfId="0" applyFont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164" fontId="20" fillId="3" borderId="1" xfId="0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0" fontId="20" fillId="0" borderId="0" xfId="0" applyFont="1"/>
    <xf numFmtId="43" fontId="20" fillId="3" borderId="1" xfId="0" applyNumberFormat="1" applyFont="1" applyFill="1" applyBorder="1"/>
    <xf numFmtId="43" fontId="17" fillId="4" borderId="1" xfId="0" applyNumberFormat="1" applyFont="1" applyFill="1" applyBorder="1"/>
    <xf numFmtId="43" fontId="20" fillId="0" borderId="1" xfId="0" applyNumberFormat="1" applyFont="1" applyBorder="1"/>
    <xf numFmtId="0" fontId="26" fillId="0" borderId="0" xfId="0" applyFont="1"/>
    <xf numFmtId="43" fontId="26" fillId="4" borderId="1" xfId="0" applyNumberFormat="1" applyFont="1" applyFill="1" applyBorder="1"/>
    <xf numFmtId="0" fontId="20" fillId="5" borderId="15" xfId="0" applyFont="1" applyFill="1" applyBorder="1" applyAlignment="1">
      <alignment horizontal="left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14" fillId="0" borderId="0" xfId="0" applyFont="1" applyFill="1" applyBorder="1"/>
    <xf numFmtId="0" fontId="11" fillId="0" borderId="0" xfId="0" applyFont="1" applyAlignment="1">
      <alignment horizontal="right" vertical="center"/>
    </xf>
    <xf numFmtId="0" fontId="17" fillId="4" borderId="0" xfId="0" applyFont="1" applyFill="1" applyBorder="1" applyAlignment="1">
      <alignment horizontal="right" vertical="center"/>
    </xf>
    <xf numFmtId="0" fontId="17" fillId="6" borderId="20" xfId="0" applyFont="1" applyFill="1" applyBorder="1" applyAlignment="1">
      <alignment horizontal="right" vertical="center"/>
    </xf>
    <xf numFmtId="0" fontId="20" fillId="3" borderId="0" xfId="0" applyFont="1" applyFill="1" applyBorder="1" applyAlignment="1">
      <alignment horizontal="right" vertical="center"/>
    </xf>
    <xf numFmtId="0" fontId="20" fillId="5" borderId="20" xfId="0" applyFont="1" applyFill="1" applyBorder="1" applyAlignment="1">
      <alignment horizontal="right" vertical="center"/>
    </xf>
    <xf numFmtId="164" fontId="20" fillId="3" borderId="0" xfId="0" applyNumberFormat="1" applyFont="1" applyFill="1" applyBorder="1" applyAlignment="1">
      <alignment horizontal="right" vertical="center"/>
    </xf>
    <xf numFmtId="164" fontId="20" fillId="5" borderId="4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7" fillId="0" borderId="1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showGridLines="0" workbookViewId="0"/>
  </sheetViews>
  <sheetFormatPr defaultRowHeight="14.5" x14ac:dyDescent="0.35"/>
  <cols>
    <col min="1" max="1" width="3" customWidth="1"/>
    <col min="2" max="2" width="30" customWidth="1"/>
    <col min="3" max="3" width="94" customWidth="1"/>
  </cols>
  <sheetData>
    <row r="2" spans="2:3" ht="19" x14ac:dyDescent="0.4">
      <c r="B2" s="1" t="s">
        <v>0</v>
      </c>
    </row>
    <row r="3" spans="2:3" x14ac:dyDescent="0.35">
      <c r="B3" s="2" t="s">
        <v>1</v>
      </c>
    </row>
    <row r="5" spans="2:3" x14ac:dyDescent="0.35">
      <c r="B5" s="3" t="s">
        <v>2</v>
      </c>
    </row>
    <row r="6" spans="2:3" x14ac:dyDescent="0.35">
      <c r="B6" s="4" t="s">
        <v>3</v>
      </c>
      <c r="C6" s="5" t="s">
        <v>4</v>
      </c>
    </row>
    <row r="7" spans="2:3" x14ac:dyDescent="0.35">
      <c r="B7" s="4" t="s">
        <v>5</v>
      </c>
      <c r="C7" s="5" t="s">
        <v>6</v>
      </c>
    </row>
    <row r="8" spans="2:3" x14ac:dyDescent="0.35">
      <c r="B8" s="4" t="s">
        <v>7</v>
      </c>
      <c r="C8" s="5" t="s">
        <v>8</v>
      </c>
    </row>
    <row r="9" spans="2:3" x14ac:dyDescent="0.35">
      <c r="B9" s="4" t="s">
        <v>9</v>
      </c>
      <c r="C9" s="5" t="s">
        <v>10</v>
      </c>
    </row>
    <row r="11" spans="2:3" x14ac:dyDescent="0.35">
      <c r="B11" s="3" t="s">
        <v>11</v>
      </c>
    </row>
    <row r="12" spans="2:3" x14ac:dyDescent="0.35">
      <c r="B12" s="4" t="s">
        <v>12</v>
      </c>
      <c r="C12" s="5" t="s">
        <v>13</v>
      </c>
    </row>
    <row r="13" spans="2:3" x14ac:dyDescent="0.35">
      <c r="B13" s="4" t="s">
        <v>14</v>
      </c>
      <c r="C13" s="5" t="s">
        <v>15</v>
      </c>
    </row>
    <row r="14" spans="2:3" x14ac:dyDescent="0.35">
      <c r="B14" s="4" t="s">
        <v>16</v>
      </c>
      <c r="C14" s="5" t="s">
        <v>17</v>
      </c>
    </row>
    <row r="15" spans="2:3" x14ac:dyDescent="0.35">
      <c r="B15" s="4" t="s">
        <v>18</v>
      </c>
      <c r="C15" s="5" t="s">
        <v>19</v>
      </c>
    </row>
    <row r="17" spans="2:3" x14ac:dyDescent="0.35">
      <c r="B17" s="3" t="s">
        <v>20</v>
      </c>
    </row>
    <row r="18" spans="2:3" x14ac:dyDescent="0.35">
      <c r="B18" s="4" t="s">
        <v>21</v>
      </c>
      <c r="C18" s="5" t="s">
        <v>22</v>
      </c>
    </row>
    <row r="19" spans="2:3" x14ac:dyDescent="0.35">
      <c r="B19" s="4" t="s">
        <v>23</v>
      </c>
      <c r="C19" s="5" t="s">
        <v>24</v>
      </c>
    </row>
    <row r="20" spans="2:3" x14ac:dyDescent="0.35">
      <c r="B20" s="4" t="s">
        <v>25</v>
      </c>
      <c r="C20" s="5" t="s">
        <v>26</v>
      </c>
    </row>
    <row r="21" spans="2:3" x14ac:dyDescent="0.35">
      <c r="B21" s="4" t="s">
        <v>27</v>
      </c>
      <c r="C21" s="5" t="s">
        <v>28</v>
      </c>
    </row>
    <row r="22" spans="2:3" x14ac:dyDescent="0.35">
      <c r="B22" s="4" t="s">
        <v>29</v>
      </c>
      <c r="C22" s="5" t="s">
        <v>30</v>
      </c>
    </row>
    <row r="23" spans="2:3" ht="52" x14ac:dyDescent="0.35">
      <c r="C23" s="6" t="s">
        <v>31</v>
      </c>
    </row>
    <row r="25" spans="2:3" x14ac:dyDescent="0.35">
      <c r="B25" s="3" t="s">
        <v>32</v>
      </c>
    </row>
    <row r="26" spans="2:3" x14ac:dyDescent="0.35">
      <c r="B26" s="4" t="s">
        <v>33</v>
      </c>
      <c r="C26" s="5" t="s">
        <v>34</v>
      </c>
    </row>
    <row r="27" spans="2:3" x14ac:dyDescent="0.35">
      <c r="B27" s="4" t="s">
        <v>35</v>
      </c>
      <c r="C27" s="5" t="s">
        <v>36</v>
      </c>
    </row>
    <row r="28" spans="2:3" x14ac:dyDescent="0.35">
      <c r="B28" s="4" t="s">
        <v>37</v>
      </c>
      <c r="C28" s="5" t="s">
        <v>38</v>
      </c>
    </row>
    <row r="30" spans="2:3" x14ac:dyDescent="0.35">
      <c r="B30" s="3" t="s">
        <v>39</v>
      </c>
    </row>
    <row r="31" spans="2:3" x14ac:dyDescent="0.35">
      <c r="B31" s="4" t="s">
        <v>40</v>
      </c>
      <c r="C31" s="5" t="s">
        <v>41</v>
      </c>
    </row>
    <row r="32" spans="2:3" x14ac:dyDescent="0.35">
      <c r="B32" s="4" t="s">
        <v>42</v>
      </c>
      <c r="C32" s="5" t="s">
        <v>43</v>
      </c>
    </row>
    <row r="33" spans="2:3" x14ac:dyDescent="0.35">
      <c r="B33" s="4" t="s">
        <v>44</v>
      </c>
      <c r="C33" s="5" t="s">
        <v>45</v>
      </c>
    </row>
    <row r="35" spans="2:3" x14ac:dyDescent="0.35">
      <c r="B35" s="3" t="s">
        <v>46</v>
      </c>
    </row>
    <row r="36" spans="2:3" x14ac:dyDescent="0.35">
      <c r="B36" s="4" t="s">
        <v>47</v>
      </c>
      <c r="C36" s="5" t="s">
        <v>48</v>
      </c>
    </row>
    <row r="37" spans="2:3" ht="25" x14ac:dyDescent="0.35">
      <c r="B37" s="4" t="s">
        <v>49</v>
      </c>
      <c r="C37" s="5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F3C5-CF39-4D34-8F9F-443C84977BAE}">
  <dimension ref="A1:C5"/>
  <sheetViews>
    <sheetView workbookViewId="0"/>
  </sheetViews>
  <sheetFormatPr defaultRowHeight="14.5" x14ac:dyDescent="0.35"/>
  <sheetData>
    <row r="1" spans="1:3" x14ac:dyDescent="0.35">
      <c r="A1" t="s">
        <v>197</v>
      </c>
    </row>
    <row r="2" spans="1:3" x14ac:dyDescent="0.35">
      <c r="A2" t="s">
        <v>198</v>
      </c>
      <c r="B2" t="s">
        <v>199</v>
      </c>
      <c r="C2" t="s">
        <v>200</v>
      </c>
    </row>
    <row r="3" spans="1:3" x14ac:dyDescent="0.35">
      <c r="A3" t="s">
        <v>90</v>
      </c>
      <c r="B3" t="s">
        <v>201</v>
      </c>
      <c r="C3" t="s">
        <v>202</v>
      </c>
    </row>
    <row r="4" spans="1:3" x14ac:dyDescent="0.35">
      <c r="A4" t="s">
        <v>63</v>
      </c>
      <c r="B4" t="s">
        <v>203</v>
      </c>
      <c r="C4" t="s">
        <v>204</v>
      </c>
    </row>
    <row r="5" spans="1:3" x14ac:dyDescent="0.35">
      <c r="A5" t="s">
        <v>95</v>
      </c>
      <c r="B5" t="s">
        <v>205</v>
      </c>
      <c r="C5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tabSelected="1" workbookViewId="0">
      <pane ySplit="2" topLeftCell="A3" activePane="bottomLeft" state="frozen"/>
      <selection pane="bottomLeft" activeCell="C8" sqref="C8"/>
    </sheetView>
  </sheetViews>
  <sheetFormatPr defaultRowHeight="14.5" x14ac:dyDescent="0.35"/>
  <cols>
    <col min="1" max="1" width="12" customWidth="1"/>
    <col min="2" max="2" width="34" customWidth="1"/>
    <col min="3" max="3" width="26" customWidth="1"/>
    <col min="4" max="4" width="52" customWidth="1"/>
    <col min="5" max="5" width="10" customWidth="1"/>
    <col min="6" max="6" width="16" customWidth="1"/>
    <col min="7" max="7" width="24" customWidth="1"/>
  </cols>
  <sheetData>
    <row r="1" spans="1:7" x14ac:dyDescent="0.35">
      <c r="A1" s="7" t="s">
        <v>51</v>
      </c>
    </row>
    <row r="2" spans="1:7" x14ac:dyDescent="0.35">
      <c r="A2" s="8" t="s">
        <v>52</v>
      </c>
      <c r="B2" s="8" t="s">
        <v>53</v>
      </c>
      <c r="C2" s="8" t="s">
        <v>54</v>
      </c>
      <c r="D2" s="8" t="s">
        <v>55</v>
      </c>
      <c r="E2" s="8" t="s">
        <v>56</v>
      </c>
      <c r="F2" s="8" t="s">
        <v>57</v>
      </c>
      <c r="G2" s="8" t="s">
        <v>58</v>
      </c>
    </row>
    <row r="3" spans="1:7" ht="23" x14ac:dyDescent="0.35">
      <c r="A3" s="9" t="s">
        <v>59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</row>
    <row r="4" spans="1:7" ht="23" x14ac:dyDescent="0.35">
      <c r="A4" s="9" t="s">
        <v>66</v>
      </c>
      <c r="B4" s="9" t="s">
        <v>67</v>
      </c>
      <c r="C4" s="9" t="s">
        <v>68</v>
      </c>
      <c r="D4" s="9" t="s">
        <v>62</v>
      </c>
      <c r="E4" s="9" t="s">
        <v>63</v>
      </c>
      <c r="F4" s="9" t="s">
        <v>64</v>
      </c>
      <c r="G4" s="9" t="s">
        <v>65</v>
      </c>
    </row>
    <row r="5" spans="1:7" ht="23" x14ac:dyDescent="0.35">
      <c r="A5" s="9" t="s">
        <v>69</v>
      </c>
      <c r="B5" s="9" t="s">
        <v>70</v>
      </c>
      <c r="C5" s="9" t="s">
        <v>71</v>
      </c>
      <c r="D5" s="9" t="s">
        <v>62</v>
      </c>
      <c r="E5" s="9" t="s">
        <v>63</v>
      </c>
      <c r="F5" s="9" t="s">
        <v>64</v>
      </c>
      <c r="G5" s="9" t="s">
        <v>65</v>
      </c>
    </row>
    <row r="6" spans="1:7" ht="23" x14ac:dyDescent="0.35">
      <c r="A6" s="9" t="s">
        <v>72</v>
      </c>
      <c r="B6" s="9" t="s">
        <v>73</v>
      </c>
      <c r="C6" s="9" t="s">
        <v>74</v>
      </c>
      <c r="D6" s="9" t="s">
        <v>62</v>
      </c>
      <c r="E6" s="9" t="s">
        <v>63</v>
      </c>
      <c r="F6" s="9" t="s">
        <v>64</v>
      </c>
      <c r="G6" s="9" t="s">
        <v>65</v>
      </c>
    </row>
    <row r="7" spans="1:7" ht="23" x14ac:dyDescent="0.35">
      <c r="A7" s="9" t="s">
        <v>75</v>
      </c>
      <c r="B7" s="9" t="s">
        <v>76</v>
      </c>
      <c r="C7" s="9" t="s">
        <v>77</v>
      </c>
      <c r="D7" s="9" t="s">
        <v>62</v>
      </c>
      <c r="E7" s="9" t="s">
        <v>63</v>
      </c>
      <c r="F7" s="9" t="s">
        <v>64</v>
      </c>
      <c r="G7" s="9" t="s">
        <v>65</v>
      </c>
    </row>
    <row r="8" spans="1:7" ht="23" x14ac:dyDescent="0.35">
      <c r="A8" s="9" t="s">
        <v>78</v>
      </c>
      <c r="B8" s="9" t="s">
        <v>79</v>
      </c>
      <c r="C8" s="9" t="s">
        <v>80</v>
      </c>
      <c r="D8" s="9" t="s">
        <v>62</v>
      </c>
      <c r="E8" s="9" t="s">
        <v>63</v>
      </c>
      <c r="F8" s="9" t="s">
        <v>64</v>
      </c>
      <c r="G8" s="9" t="s">
        <v>65</v>
      </c>
    </row>
    <row r="9" spans="1:7" ht="23" x14ac:dyDescent="0.35">
      <c r="A9" s="9" t="s">
        <v>81</v>
      </c>
      <c r="B9" s="9" t="s">
        <v>82</v>
      </c>
      <c r="C9" s="9" t="s">
        <v>83</v>
      </c>
      <c r="D9" s="9" t="s">
        <v>62</v>
      </c>
      <c r="E9" s="9" t="s">
        <v>63</v>
      </c>
      <c r="F9" s="9" t="s">
        <v>64</v>
      </c>
      <c r="G9" s="9" t="s">
        <v>65</v>
      </c>
    </row>
    <row r="10" spans="1:7" ht="23" x14ac:dyDescent="0.35">
      <c r="A10" s="9" t="s">
        <v>84</v>
      </c>
      <c r="B10" s="9" t="s">
        <v>85</v>
      </c>
      <c r="C10" s="9" t="s">
        <v>86</v>
      </c>
      <c r="D10" s="9" t="s">
        <v>62</v>
      </c>
      <c r="E10" s="9" t="s">
        <v>63</v>
      </c>
      <c r="F10" s="9" t="s">
        <v>64</v>
      </c>
      <c r="G10" s="9" t="s">
        <v>65</v>
      </c>
    </row>
    <row r="11" spans="1:7" ht="23" x14ac:dyDescent="0.35">
      <c r="A11" s="9" t="s">
        <v>87</v>
      </c>
      <c r="B11" s="9" t="s">
        <v>88</v>
      </c>
      <c r="C11" s="9"/>
      <c r="D11" s="9" t="s">
        <v>89</v>
      </c>
      <c r="E11" s="9" t="s">
        <v>90</v>
      </c>
      <c r="F11" s="9" t="s">
        <v>64</v>
      </c>
      <c r="G11" s="9" t="s">
        <v>65</v>
      </c>
    </row>
    <row r="12" spans="1:7" ht="23" x14ac:dyDescent="0.35">
      <c r="A12" s="9" t="s">
        <v>91</v>
      </c>
      <c r="B12" s="9" t="s">
        <v>92</v>
      </c>
      <c r="C12" s="9"/>
      <c r="D12" s="9" t="s">
        <v>89</v>
      </c>
      <c r="E12" s="9" t="s">
        <v>90</v>
      </c>
      <c r="F12" s="9" t="s">
        <v>64</v>
      </c>
      <c r="G12" s="9" t="s">
        <v>65</v>
      </c>
    </row>
    <row r="13" spans="1:7" x14ac:dyDescent="0.35">
      <c r="A13" s="9" t="s">
        <v>93</v>
      </c>
      <c r="B13" s="9" t="s">
        <v>94</v>
      </c>
      <c r="C13" s="9"/>
      <c r="D13" s="9"/>
      <c r="E13" s="9" t="s">
        <v>95</v>
      </c>
      <c r="F13" s="9" t="s">
        <v>64</v>
      </c>
      <c r="G13" s="9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6" customWidth="1"/>
    <col min="2" max="2" width="11" customWidth="1"/>
    <col min="3" max="3" width="12" customWidth="1"/>
    <col min="4" max="4" width="32" customWidth="1"/>
    <col min="5" max="5" width="10" customWidth="1"/>
    <col min="6" max="6" width="28" customWidth="1"/>
    <col min="7" max="7" width="20" customWidth="1"/>
  </cols>
  <sheetData>
    <row r="1" spans="1:7" x14ac:dyDescent="0.35">
      <c r="A1" s="7" t="s">
        <v>96</v>
      </c>
    </row>
    <row r="2" spans="1:7" x14ac:dyDescent="0.35">
      <c r="A2" s="8" t="s">
        <v>97</v>
      </c>
      <c r="B2" s="8" t="s">
        <v>98</v>
      </c>
      <c r="C2" s="8" t="s">
        <v>52</v>
      </c>
      <c r="D2" s="8" t="s">
        <v>99</v>
      </c>
      <c r="E2" s="8" t="s">
        <v>56</v>
      </c>
      <c r="F2" s="8" t="s">
        <v>100</v>
      </c>
      <c r="G2" s="8" t="s">
        <v>101</v>
      </c>
    </row>
    <row r="3" spans="1:7" x14ac:dyDescent="0.35">
      <c r="A3" s="9" t="s">
        <v>102</v>
      </c>
      <c r="B3" s="9" t="s">
        <v>103</v>
      </c>
      <c r="C3" s="9" t="s">
        <v>59</v>
      </c>
      <c r="D3" s="9" t="s">
        <v>104</v>
      </c>
      <c r="E3" s="9" t="s">
        <v>63</v>
      </c>
      <c r="F3" s="9" t="s">
        <v>105</v>
      </c>
      <c r="G3" s="9" t="s">
        <v>106</v>
      </c>
    </row>
    <row r="4" spans="1:7" x14ac:dyDescent="0.35">
      <c r="A4" s="9" t="s">
        <v>107</v>
      </c>
      <c r="B4" s="9" t="s">
        <v>108</v>
      </c>
      <c r="C4" s="9" t="s">
        <v>59</v>
      </c>
      <c r="D4" s="9" t="s">
        <v>109</v>
      </c>
      <c r="E4" s="9" t="s">
        <v>63</v>
      </c>
      <c r="F4" s="9" t="s">
        <v>105</v>
      </c>
      <c r="G4" s="9" t="s">
        <v>106</v>
      </c>
    </row>
    <row r="5" spans="1:7" x14ac:dyDescent="0.35">
      <c r="A5" s="9" t="s">
        <v>110</v>
      </c>
      <c r="B5" s="9" t="s">
        <v>111</v>
      </c>
      <c r="C5" s="9" t="s">
        <v>66</v>
      </c>
      <c r="D5" s="9" t="s">
        <v>112</v>
      </c>
      <c r="E5" s="9" t="s">
        <v>63</v>
      </c>
      <c r="F5" s="9" t="s">
        <v>105</v>
      </c>
      <c r="G5" s="9" t="s">
        <v>106</v>
      </c>
    </row>
    <row r="6" spans="1:7" x14ac:dyDescent="0.35">
      <c r="A6" s="9" t="s">
        <v>113</v>
      </c>
      <c r="B6" s="9" t="s">
        <v>111</v>
      </c>
      <c r="C6" s="9" t="s">
        <v>69</v>
      </c>
      <c r="D6" s="9" t="s">
        <v>112</v>
      </c>
      <c r="E6" s="9" t="s">
        <v>63</v>
      </c>
      <c r="F6" s="9" t="s">
        <v>105</v>
      </c>
      <c r="G6" s="9" t="s">
        <v>106</v>
      </c>
    </row>
    <row r="7" spans="1:7" x14ac:dyDescent="0.35">
      <c r="A7" s="9" t="s">
        <v>114</v>
      </c>
      <c r="B7" s="9" t="s">
        <v>103</v>
      </c>
      <c r="C7" s="9" t="s">
        <v>72</v>
      </c>
      <c r="D7" s="9" t="s">
        <v>104</v>
      </c>
      <c r="E7" s="9" t="s">
        <v>63</v>
      </c>
      <c r="F7" s="9" t="s">
        <v>105</v>
      </c>
      <c r="G7" s="9" t="s">
        <v>106</v>
      </c>
    </row>
    <row r="8" spans="1:7" x14ac:dyDescent="0.35">
      <c r="A8" s="9" t="s">
        <v>115</v>
      </c>
      <c r="B8" s="9" t="s">
        <v>116</v>
      </c>
      <c r="C8" s="9" t="s">
        <v>75</v>
      </c>
      <c r="D8" s="9" t="s">
        <v>117</v>
      </c>
      <c r="E8" s="9" t="s">
        <v>63</v>
      </c>
      <c r="F8" s="9" t="s">
        <v>105</v>
      </c>
      <c r="G8" s="9" t="s">
        <v>106</v>
      </c>
    </row>
    <row r="9" spans="1:7" x14ac:dyDescent="0.35">
      <c r="A9" s="9" t="s">
        <v>118</v>
      </c>
      <c r="B9" s="9" t="s">
        <v>103</v>
      </c>
      <c r="C9" s="9" t="s">
        <v>78</v>
      </c>
      <c r="D9" s="9" t="s">
        <v>104</v>
      </c>
      <c r="E9" s="9" t="s">
        <v>63</v>
      </c>
      <c r="F9" s="9" t="s">
        <v>105</v>
      </c>
      <c r="G9" s="9" t="s">
        <v>106</v>
      </c>
    </row>
    <row r="10" spans="1:7" x14ac:dyDescent="0.35">
      <c r="A10" s="9" t="s">
        <v>119</v>
      </c>
      <c r="B10" s="9" t="s">
        <v>111</v>
      </c>
      <c r="C10" s="9" t="s">
        <v>81</v>
      </c>
      <c r="D10" s="9" t="s">
        <v>112</v>
      </c>
      <c r="E10" s="9" t="s">
        <v>63</v>
      </c>
      <c r="F10" s="9" t="s">
        <v>105</v>
      </c>
      <c r="G10" s="9" t="s">
        <v>106</v>
      </c>
    </row>
    <row r="11" spans="1:7" x14ac:dyDescent="0.35">
      <c r="A11" s="9" t="s">
        <v>120</v>
      </c>
      <c r="B11" s="9" t="s">
        <v>111</v>
      </c>
      <c r="C11" s="9" t="s">
        <v>84</v>
      </c>
      <c r="D11" s="9" t="s">
        <v>112</v>
      </c>
      <c r="E11" s="9" t="s">
        <v>63</v>
      </c>
      <c r="F11" s="9" t="s">
        <v>105</v>
      </c>
      <c r="G11" s="9" t="s">
        <v>106</v>
      </c>
    </row>
    <row r="12" spans="1:7" x14ac:dyDescent="0.35">
      <c r="A12" s="9" t="s">
        <v>121</v>
      </c>
      <c r="B12" s="9" t="s">
        <v>122</v>
      </c>
      <c r="C12" s="9" t="s">
        <v>87</v>
      </c>
      <c r="D12" s="9" t="s">
        <v>123</v>
      </c>
      <c r="E12" s="9" t="s">
        <v>90</v>
      </c>
      <c r="F12" s="9" t="s">
        <v>105</v>
      </c>
      <c r="G12" s="9" t="s">
        <v>106</v>
      </c>
    </row>
    <row r="13" spans="1:7" x14ac:dyDescent="0.35">
      <c r="A13" s="9" t="s">
        <v>124</v>
      </c>
      <c r="B13" s="9" t="s">
        <v>125</v>
      </c>
      <c r="C13" s="9" t="s">
        <v>93</v>
      </c>
      <c r="D13" s="9" t="s">
        <v>106</v>
      </c>
      <c r="E13" s="9" t="s">
        <v>95</v>
      </c>
      <c r="F13" s="9" t="s">
        <v>105</v>
      </c>
      <c r="G13" s="9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0"/>
  <sheetViews>
    <sheetView showGridLines="0" workbookViewId="0"/>
  </sheetViews>
  <sheetFormatPr defaultRowHeight="14.5" x14ac:dyDescent="0.35"/>
  <cols>
    <col min="1" max="1" width="13" customWidth="1"/>
    <col min="2" max="2" width="22" customWidth="1"/>
    <col min="3" max="4" width="8" customWidth="1"/>
    <col min="5" max="5" width="13" customWidth="1"/>
    <col min="6" max="6" width="10" customWidth="1"/>
    <col min="7" max="7" width="12" customWidth="1"/>
    <col min="8" max="8" width="14" customWidth="1"/>
    <col min="10" max="10" width="18" customWidth="1"/>
    <col min="11" max="11" width="22" customWidth="1"/>
  </cols>
  <sheetData>
    <row r="1" spans="1:11" ht="26" customHeight="1" x14ac:dyDescent="0.4">
      <c r="A1" s="11" t="str">
        <f>IFERROR(INDEX(_EntityData!$B$3:$B$100,MATCH($K$3,_EntityData!$A$3:$A$100,0)),"")</f>
        <v>Ng Eng Kee &amp; Sons Sdn Bhd</v>
      </c>
      <c r="B1" s="12"/>
      <c r="C1" s="12"/>
      <c r="D1" s="12"/>
      <c r="E1" s="12"/>
      <c r="F1" s="12"/>
      <c r="G1" s="12"/>
      <c r="H1" s="12"/>
      <c r="I1" s="13"/>
      <c r="J1" s="14" t="s">
        <v>126</v>
      </c>
      <c r="K1" s="15"/>
    </row>
    <row r="2" spans="1:11" ht="19" customHeight="1" x14ac:dyDescent="0.4">
      <c r="A2" s="16" t="str">
        <f>IF($K$3="","",IFERROR(IF(INDEX(_EntityData!$C$3:$C$100,MATCH($K$3,_EntityData!$A$3:$A$100,0))="","","Co. Reg. No. "&amp;INDEX(_EntityData!$C$3:$C$100,MATCH($K$3,_EntityData!$A$3:$A$100,0))),""))</f>
        <v>Co. Reg. No. 198401003022 (115540-H)</v>
      </c>
      <c r="B2" s="12"/>
      <c r="C2" s="12"/>
      <c r="D2" s="12"/>
      <c r="E2" s="12"/>
      <c r="F2" s="12"/>
      <c r="G2" s="12"/>
      <c r="H2" s="12"/>
      <c r="I2" s="13"/>
      <c r="J2" s="17" t="s">
        <v>128</v>
      </c>
      <c r="K2" s="18"/>
    </row>
    <row r="3" spans="1:11" ht="19" customHeight="1" x14ac:dyDescent="0.4">
      <c r="A3" s="16" t="str">
        <f>IF($K$3="","",IFERROR("Tel: "&amp;INDEX(_EntityData!$F$3:$F$100,MATCH($K$3,_EntityData!$A$3:$A$100,0))&amp;"      Email: "&amp;INDEX(_EntityData!$G$3:$G$100,MATCH($K$3,_EntityData!$A$3:$A$100,0)),""))</f>
        <v>Tel: 012-4820853      Email: nekgroup84@gmail.com</v>
      </c>
      <c r="B3" s="12"/>
      <c r="C3" s="12"/>
      <c r="D3" s="12"/>
      <c r="E3" s="12"/>
      <c r="F3" s="12"/>
      <c r="G3" s="12"/>
      <c r="H3" s="12"/>
      <c r="I3" s="13"/>
      <c r="J3" s="10" t="s">
        <v>52</v>
      </c>
      <c r="K3" s="19" t="s">
        <v>59</v>
      </c>
    </row>
    <row r="4" spans="1:11" ht="36" customHeight="1" x14ac:dyDescent="0.4">
      <c r="A4" s="16" t="str">
        <f>IFERROR(INDEX(_EntityData!$D$3:$D$100,MATCH($K$3,_EntityData!$A$3:$A$100,0)),"")</f>
        <v>51-10-E, Menara BHL, Jalan Sultan Ahmad Shah, 10050 Georgetown, Penang, Malaysia</v>
      </c>
      <c r="B4" s="12"/>
      <c r="C4" s="12"/>
      <c r="D4" s="12"/>
      <c r="E4" s="12"/>
      <c r="F4" s="12"/>
      <c r="G4" s="12"/>
      <c r="H4" s="12"/>
      <c r="I4" s="13"/>
      <c r="J4" s="10" t="s">
        <v>98</v>
      </c>
      <c r="K4" s="19" t="s">
        <v>103</v>
      </c>
    </row>
    <row r="5" spans="1:11" ht="26" customHeight="1" thickBot="1" x14ac:dyDescent="0.45">
      <c r="A5" s="20" t="s">
        <v>127</v>
      </c>
      <c r="B5" s="21"/>
      <c r="C5" s="21"/>
      <c r="D5" s="21"/>
      <c r="E5" s="21"/>
      <c r="F5" s="21"/>
      <c r="G5" s="21"/>
      <c r="H5" s="21"/>
      <c r="I5" s="13"/>
      <c r="J5" s="10" t="s">
        <v>129</v>
      </c>
      <c r="K5" s="19">
        <v>14</v>
      </c>
    </row>
    <row r="6" spans="1:11" ht="26.5" thickBot="1" x14ac:dyDescent="0.45">
      <c r="A6" s="13"/>
      <c r="B6" s="13"/>
      <c r="C6" s="13"/>
      <c r="D6" s="13"/>
      <c r="E6" s="13"/>
      <c r="F6" s="13"/>
      <c r="G6" s="13"/>
      <c r="H6" s="13"/>
      <c r="I6" s="13"/>
      <c r="J6" s="22" t="s">
        <v>130</v>
      </c>
      <c r="K6" s="23" t="str">
        <f>IFERROR(INDEX(_BankAccounts!$D$3:$D$100,MATCH($K$3&amp;"|"&amp;$K$4,_BankAccounts!$A$3:$A$100,0)),"")</f>
        <v>Bank of China (Malaysia) Berhad</v>
      </c>
    </row>
    <row r="7" spans="1:11" ht="22" customHeight="1" thickBot="1" x14ac:dyDescent="0.45">
      <c r="A7" s="24" t="s">
        <v>131</v>
      </c>
      <c r="B7" s="78" t="s">
        <v>132</v>
      </c>
      <c r="C7" s="79"/>
      <c r="D7" s="79"/>
      <c r="E7" s="80"/>
      <c r="F7" s="81" t="s">
        <v>133</v>
      </c>
      <c r="G7" s="83" t="str">
        <f>K7</f>
        <v>PV/NEK/BOC/202607/014</v>
      </c>
      <c r="H7" s="82"/>
      <c r="I7" s="13"/>
      <c r="J7" s="22" t="s">
        <v>134</v>
      </c>
      <c r="K7" s="26" t="str">
        <f>IF(OR($K$3="",$K$4="",$K$5="",G9=""),"","PV/"&amp;$K$3&amp;"/"&amp;$K$4&amp;"/"&amp;TEXT(G9,"yyyymm")&amp;"/"&amp;TEXT($K$5,"000"))</f>
        <v>PV/NEK/BOC/202607/014</v>
      </c>
    </row>
    <row r="8" spans="1:11" ht="22" customHeight="1" x14ac:dyDescent="0.4">
      <c r="A8" s="13"/>
      <c r="B8" s="13"/>
      <c r="C8" s="13"/>
      <c r="D8" s="13"/>
      <c r="E8" s="13"/>
      <c r="F8" s="81" t="s">
        <v>207</v>
      </c>
      <c r="G8" s="85" t="s">
        <v>135</v>
      </c>
      <c r="H8" s="84"/>
      <c r="I8" s="13"/>
      <c r="J8" s="22" t="s">
        <v>136</v>
      </c>
      <c r="K8" s="27" t="str">
        <f>IF(OR($K$3="",$K$4=""),"",IF(ISNUMBER(MATCH($K$3&amp;"|"&amp;$K$4,_BankAccounts!$A$3:$A$100,0)),"","! bank code not linked to this entity"))</f>
        <v/>
      </c>
    </row>
    <row r="9" spans="1:11" ht="22" customHeight="1" x14ac:dyDescent="0.4">
      <c r="A9" s="13"/>
      <c r="B9" s="13"/>
      <c r="C9" s="13"/>
      <c r="D9" s="13"/>
      <c r="E9" s="13"/>
      <c r="F9" s="81" t="s">
        <v>137</v>
      </c>
      <c r="G9" s="87">
        <v>46228</v>
      </c>
      <c r="H9" s="86"/>
      <c r="I9" s="13"/>
      <c r="J9" s="13" t="s">
        <v>206</v>
      </c>
      <c r="K9" s="13" t="str">
        <f>IFERROR(INDEX(_BankAccounts!$E$3:$E$100,MATCH($K$3&amp;"|"&amp;$K$4,_BankAccounts!$A$3:$A$100,0)),"")</f>
        <v>MYR</v>
      </c>
    </row>
    <row r="10" spans="1:11" ht="17.5" thickBot="1" x14ac:dyDescent="0.4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22" customHeight="1" x14ac:dyDescent="0.4">
      <c r="A11" s="28" t="s">
        <v>138</v>
      </c>
      <c r="B11" s="29"/>
      <c r="C11" s="29"/>
      <c r="D11" s="29"/>
      <c r="E11" s="30" t="str">
        <f>$K$9</f>
        <v>MYR</v>
      </c>
      <c r="F11" s="29"/>
      <c r="G11" s="30" t="s">
        <v>139</v>
      </c>
      <c r="H11" s="31"/>
      <c r="I11" s="13"/>
      <c r="J11" s="13"/>
      <c r="K11" s="13"/>
    </row>
    <row r="12" spans="1:11" ht="19" customHeight="1" x14ac:dyDescent="0.4">
      <c r="A12" s="32" t="s">
        <v>140</v>
      </c>
      <c r="B12" s="33"/>
      <c r="C12" s="33"/>
      <c r="D12" s="33"/>
      <c r="E12" s="34">
        <v>2793</v>
      </c>
      <c r="F12" s="33"/>
      <c r="G12" s="35"/>
      <c r="H12" s="36"/>
      <c r="I12" s="13"/>
      <c r="J12" s="13"/>
      <c r="K12" s="13"/>
    </row>
    <row r="13" spans="1:11" ht="19" customHeight="1" x14ac:dyDescent="0.4">
      <c r="A13" s="32"/>
      <c r="B13" s="33"/>
      <c r="C13" s="33"/>
      <c r="D13" s="33"/>
      <c r="E13" s="34"/>
      <c r="F13" s="33"/>
      <c r="G13" s="35"/>
      <c r="H13" s="36"/>
      <c r="I13" s="13"/>
      <c r="J13" s="13"/>
      <c r="K13" s="13"/>
    </row>
    <row r="14" spans="1:11" ht="19" customHeight="1" x14ac:dyDescent="0.4">
      <c r="A14" s="32"/>
      <c r="B14" s="33"/>
      <c r="C14" s="33"/>
      <c r="D14" s="33"/>
      <c r="E14" s="34"/>
      <c r="F14" s="33"/>
      <c r="G14" s="35"/>
      <c r="H14" s="36"/>
      <c r="I14" s="13"/>
      <c r="J14" s="13"/>
      <c r="K14" s="13"/>
    </row>
    <row r="15" spans="1:11" ht="19" customHeight="1" x14ac:dyDescent="0.4">
      <c r="A15" s="32"/>
      <c r="B15" s="33"/>
      <c r="C15" s="33"/>
      <c r="D15" s="33"/>
      <c r="E15" s="34"/>
      <c r="F15" s="33"/>
      <c r="G15" s="35"/>
      <c r="H15" s="36"/>
      <c r="I15" s="13"/>
      <c r="J15" s="13"/>
      <c r="K15" s="13"/>
    </row>
    <row r="16" spans="1:11" ht="19" customHeight="1" x14ac:dyDescent="0.4">
      <c r="A16" s="32"/>
      <c r="B16" s="33"/>
      <c r="C16" s="33"/>
      <c r="D16" s="33"/>
      <c r="E16" s="34"/>
      <c r="F16" s="33"/>
      <c r="G16" s="35"/>
      <c r="H16" s="36"/>
      <c r="I16" s="13"/>
      <c r="J16" s="13"/>
      <c r="K16" s="13"/>
    </row>
    <row r="17" spans="1:11" ht="19" customHeight="1" x14ac:dyDescent="0.4">
      <c r="A17" s="32"/>
      <c r="B17" s="33"/>
      <c r="C17" s="33"/>
      <c r="D17" s="33"/>
      <c r="E17" s="34"/>
      <c r="F17" s="33"/>
      <c r="G17" s="35"/>
      <c r="H17" s="36"/>
      <c r="I17" s="13"/>
      <c r="J17" s="13"/>
      <c r="K17" s="13"/>
    </row>
    <row r="18" spans="1:11" ht="22" customHeight="1" thickBot="1" x14ac:dyDescent="0.45">
      <c r="A18" s="37" t="s">
        <v>141</v>
      </c>
      <c r="B18" s="38"/>
      <c r="C18" s="38"/>
      <c r="D18" s="38"/>
      <c r="E18" s="39">
        <f>SUM(E12:F17)</f>
        <v>2793</v>
      </c>
      <c r="F18" s="38"/>
      <c r="G18" s="38"/>
      <c r="H18" s="40"/>
      <c r="I18" s="13"/>
      <c r="J18" s="13"/>
      <c r="K18" s="13"/>
    </row>
    <row r="19" spans="1:11" ht="17.5" thickBot="1" x14ac:dyDescent="0.4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24" customHeight="1" thickBot="1" x14ac:dyDescent="0.45">
      <c r="A20" s="88" t="str">
        <f>IF($K$9="","",IFERROR(INDEX(_Currency!$B$3:$B$20,MATCH($K$9,_Currency!$A$3:$A$20,0)),$K$9)&amp;" :")</f>
        <v>Ringgit Malaysia :</v>
      </c>
      <c r="B20" s="89"/>
      <c r="C20" s="41"/>
      <c r="D20" s="42"/>
      <c r="E20" s="42"/>
      <c r="F20" s="42"/>
      <c r="G20" s="42"/>
      <c r="H20" s="43"/>
      <c r="I20" s="13"/>
      <c r="J20" s="13"/>
      <c r="K20" s="13"/>
    </row>
    <row r="21" spans="1:11" ht="17" x14ac:dyDescent="0.4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7" x14ac:dyDescent="0.4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36" customHeight="1" x14ac:dyDescent="0.4">
      <c r="A23" s="44" t="s">
        <v>143</v>
      </c>
      <c r="B23" s="45"/>
      <c r="C23" s="46"/>
      <c r="D23" s="13"/>
      <c r="E23" s="47" t="s">
        <v>208</v>
      </c>
      <c r="F23" s="48"/>
      <c r="G23" s="48"/>
      <c r="H23" s="48"/>
      <c r="I23" s="13"/>
      <c r="J23" s="13"/>
      <c r="K23" s="13"/>
    </row>
    <row r="24" spans="1:11" ht="17" x14ac:dyDescent="0.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36" customHeight="1" x14ac:dyDescent="0.4">
      <c r="A25" s="44" t="s">
        <v>209</v>
      </c>
      <c r="B25" s="45"/>
      <c r="C25" s="46"/>
      <c r="D25" s="13"/>
      <c r="E25" s="49" t="s">
        <v>208</v>
      </c>
      <c r="F25" s="50"/>
      <c r="G25" s="50"/>
      <c r="H25" s="50"/>
      <c r="I25" s="13"/>
      <c r="J25" s="13"/>
      <c r="K25" s="13"/>
    </row>
    <row r="26" spans="1:11" ht="17" x14ac:dyDescent="0.4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36" customHeight="1" x14ac:dyDescent="0.4">
      <c r="A27" s="44" t="s">
        <v>144</v>
      </c>
      <c r="B27" s="45"/>
      <c r="C27" s="46"/>
      <c r="D27" s="13"/>
      <c r="E27" s="49" t="s">
        <v>208</v>
      </c>
      <c r="F27" s="50"/>
      <c r="G27" s="50"/>
      <c r="H27" s="50"/>
      <c r="I27" s="13"/>
      <c r="J27" s="13"/>
      <c r="K27" s="13"/>
    </row>
    <row r="28" spans="1:11" ht="17" x14ac:dyDescent="0.4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7" x14ac:dyDescent="0.4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7" x14ac:dyDescent="0.4">
      <c r="A30" s="51"/>
      <c r="B30" s="18"/>
      <c r="C30" s="18"/>
      <c r="D30" s="18"/>
      <c r="E30" s="18"/>
      <c r="F30" s="18"/>
      <c r="G30" s="18"/>
      <c r="H30" s="18"/>
      <c r="I30" s="13"/>
      <c r="J30" s="13"/>
      <c r="K30" s="13"/>
    </row>
  </sheetData>
  <mergeCells count="43">
    <mergeCell ref="G8:H8"/>
    <mergeCell ref="G9:H9"/>
    <mergeCell ref="A30:H30"/>
    <mergeCell ref="B25:C25"/>
    <mergeCell ref="A16:D16"/>
    <mergeCell ref="A18:D18"/>
    <mergeCell ref="E16:F16"/>
    <mergeCell ref="G16:H16"/>
    <mergeCell ref="A20:B20"/>
    <mergeCell ref="C20:H20"/>
    <mergeCell ref="F25:H25"/>
    <mergeCell ref="F27:H27"/>
    <mergeCell ref="A1:H1"/>
    <mergeCell ref="B27:C27"/>
    <mergeCell ref="E17:F17"/>
    <mergeCell ref="G17:H17"/>
    <mergeCell ref="A13:D13"/>
    <mergeCell ref="F23:H23"/>
    <mergeCell ref="B23:C23"/>
    <mergeCell ref="A15:D15"/>
    <mergeCell ref="E13:F13"/>
    <mergeCell ref="A11:D11"/>
    <mergeCell ref="G13:H13"/>
    <mergeCell ref="G18:H18"/>
    <mergeCell ref="E12:F12"/>
    <mergeCell ref="A17:D17"/>
    <mergeCell ref="B7:D7"/>
    <mergeCell ref="J2:K2"/>
    <mergeCell ref="E18:F18"/>
    <mergeCell ref="A14:D14"/>
    <mergeCell ref="A3:H3"/>
    <mergeCell ref="E15:F15"/>
    <mergeCell ref="G15:H15"/>
    <mergeCell ref="A2:H2"/>
    <mergeCell ref="E11:F11"/>
    <mergeCell ref="G14:H14"/>
    <mergeCell ref="A4:H4"/>
    <mergeCell ref="A12:D12"/>
    <mergeCell ref="G11:H11"/>
    <mergeCell ref="E14:F14"/>
    <mergeCell ref="G12:H12"/>
    <mergeCell ref="A5:H5"/>
    <mergeCell ref="G7:H7"/>
  </mergeCells>
  <dataValidations count="2">
    <dataValidation type="list" sqref="K4" xr:uid="{00000000-0002-0000-0300-000001000000}">
      <formula1>"BOC,BOCOM,MBB,OCBC,TBC,UOB"</formula1>
    </dataValidation>
    <dataValidation type="list" allowBlank="1" showInputMessage="1" showErrorMessage="1" sqref="G8" xr:uid="{FD09BFF1-BCFD-453E-903F-2DC48E0C55F9}">
      <formula1>"IBG,Cheque,TT"</formula1>
    </dataValidation>
  </dataValidations>
  <pageMargins left="0.5" right="0.5" top="0.6" bottom="0.6" header="0.5" footer="0.5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_EntityData!$A$3:$A$13</xm:f>
          </x14:formula1>
          <xm:sqref>K3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0"/>
  <sheetViews>
    <sheetView showGridLines="0" workbookViewId="0"/>
  </sheetViews>
  <sheetFormatPr defaultRowHeight="14.5" x14ac:dyDescent="0.35"/>
  <cols>
    <col min="1" max="1" width="13" customWidth="1"/>
    <col min="2" max="2" width="22" customWidth="1"/>
    <col min="3" max="4" width="8" customWidth="1"/>
    <col min="5" max="5" width="13" customWidth="1"/>
    <col min="6" max="6" width="10" customWidth="1"/>
    <col min="7" max="7" width="12" customWidth="1"/>
    <col min="8" max="8" width="14" customWidth="1"/>
    <col min="10" max="10" width="18" customWidth="1"/>
    <col min="11" max="11" width="22" customWidth="1"/>
  </cols>
  <sheetData>
    <row r="1" spans="1:11" ht="26" customHeight="1" x14ac:dyDescent="0.4">
      <c r="A1" s="11" t="str">
        <f>IFERROR(INDEX(_EntityData!$B$3:$B$100,MATCH($K$3,_EntityData!$A$3:$A$100,0)),"")</f>
        <v>Ng Eng Kee &amp; Sons Sdn Bhd</v>
      </c>
      <c r="B1" s="12"/>
      <c r="C1" s="12"/>
      <c r="D1" s="12"/>
      <c r="E1" s="12"/>
      <c r="F1" s="12"/>
      <c r="G1" s="12"/>
      <c r="H1" s="12"/>
      <c r="I1" s="13"/>
      <c r="J1" s="14" t="s">
        <v>126</v>
      </c>
      <c r="K1" s="15"/>
    </row>
    <row r="2" spans="1:11" ht="19" customHeight="1" x14ac:dyDescent="0.4">
      <c r="A2" s="16" t="str">
        <f>IF($K$3="","",IFERROR(IF(INDEX(_EntityData!$C$3:$C$100,MATCH($K$3,_EntityData!$A$3:$A$100,0))="","","Co. Reg. No. "&amp;INDEX(_EntityData!$C$3:$C$100,MATCH($K$3,_EntityData!$A$3:$A$100,0))),""))</f>
        <v>Co. Reg. No. 198401003022 (115540-H)</v>
      </c>
      <c r="B2" s="12"/>
      <c r="C2" s="12"/>
      <c r="D2" s="12"/>
      <c r="E2" s="12"/>
      <c r="F2" s="12"/>
      <c r="G2" s="12"/>
      <c r="H2" s="12"/>
      <c r="I2" s="13"/>
      <c r="J2" s="17" t="s">
        <v>128</v>
      </c>
      <c r="K2" s="18"/>
    </row>
    <row r="3" spans="1:11" ht="19" customHeight="1" x14ac:dyDescent="0.4">
      <c r="A3" s="16" t="str">
        <f>IF($K$3="","",IFERROR("Tel: "&amp;INDEX(_EntityData!$F$3:$F$100,MATCH($K$3,_EntityData!$A$3:$A$100,0))&amp;"      Email: "&amp;INDEX(_EntityData!$G$3:$G$100,MATCH($K$3,_EntityData!$A$3:$A$100,0)),""))</f>
        <v>Tel: 012-4820853      Email: nekgroup84@gmail.com</v>
      </c>
      <c r="B3" s="12"/>
      <c r="C3" s="12"/>
      <c r="D3" s="12"/>
      <c r="E3" s="12"/>
      <c r="F3" s="12"/>
      <c r="G3" s="12"/>
      <c r="H3" s="12"/>
      <c r="I3" s="13"/>
      <c r="J3" s="10" t="s">
        <v>52</v>
      </c>
      <c r="K3" s="19" t="s">
        <v>59</v>
      </c>
    </row>
    <row r="4" spans="1:11" ht="36" customHeight="1" x14ac:dyDescent="0.4">
      <c r="A4" s="16" t="str">
        <f>IFERROR(INDEX(_EntityData!$D$3:$D$100,MATCH($K$3,_EntityData!$A$3:$A$100,0)),"")</f>
        <v>51-10-E, Menara BHL, Jalan Sultan Ahmad Shah, 10050 Georgetown, Penang, Malaysia</v>
      </c>
      <c r="B4" s="12"/>
      <c r="C4" s="12"/>
      <c r="D4" s="12"/>
      <c r="E4" s="12"/>
      <c r="F4" s="12"/>
      <c r="G4" s="12"/>
      <c r="H4" s="12"/>
      <c r="I4" s="13"/>
      <c r="J4" s="10" t="s">
        <v>98</v>
      </c>
      <c r="K4" s="19" t="s">
        <v>103</v>
      </c>
    </row>
    <row r="5" spans="1:11" ht="26" customHeight="1" thickBot="1" x14ac:dyDescent="0.45">
      <c r="A5" s="20" t="s">
        <v>145</v>
      </c>
      <c r="B5" s="21"/>
      <c r="C5" s="21"/>
      <c r="D5" s="21"/>
      <c r="E5" s="21"/>
      <c r="F5" s="21"/>
      <c r="G5" s="21"/>
      <c r="H5" s="21"/>
      <c r="I5" s="13"/>
      <c r="J5" s="10" t="s">
        <v>129</v>
      </c>
      <c r="K5" s="19">
        <v>14</v>
      </c>
    </row>
    <row r="6" spans="1:11" ht="26.5" thickBot="1" x14ac:dyDescent="0.45">
      <c r="A6" s="13"/>
      <c r="B6" s="13"/>
      <c r="C6" s="13"/>
      <c r="D6" s="13"/>
      <c r="E6" s="13"/>
      <c r="F6" s="13"/>
      <c r="G6" s="13"/>
      <c r="H6" s="13"/>
      <c r="I6" s="13"/>
      <c r="J6" s="22" t="s">
        <v>130</v>
      </c>
      <c r="K6" s="23" t="str">
        <f>IFERROR(INDEX(_BankAccounts!$D$3:$D$100,MATCH($K$3&amp;"|"&amp;$K$4,_BankAccounts!$A$3:$A$100,0)),"")</f>
        <v>Bank of China (Malaysia) Berhad</v>
      </c>
    </row>
    <row r="7" spans="1:11" ht="22" customHeight="1" thickBot="1" x14ac:dyDescent="0.45">
      <c r="A7" s="24" t="s">
        <v>146</v>
      </c>
      <c r="B7" s="78" t="s">
        <v>132</v>
      </c>
      <c r="C7" s="79"/>
      <c r="D7" s="79"/>
      <c r="E7" s="80"/>
      <c r="F7" s="81" t="s">
        <v>147</v>
      </c>
      <c r="G7" s="83" t="str">
        <f>K7</f>
        <v>RV/NEK/BOC/202607/014</v>
      </c>
      <c r="H7" s="82"/>
      <c r="I7" s="13"/>
      <c r="J7" s="22" t="s">
        <v>134</v>
      </c>
      <c r="K7" s="26" t="str">
        <f>IF(OR($K$3="",$K$4="",$K$5="",G9=""),"","RV/"&amp;$K$3&amp;"/"&amp;$K$4&amp;"/"&amp;TEXT(G9,"yyyymm")&amp;"/"&amp;TEXT($K$5,"000"))</f>
        <v>RV/NEK/BOC/202607/014</v>
      </c>
    </row>
    <row r="8" spans="1:11" ht="22" customHeight="1" x14ac:dyDescent="0.4">
      <c r="A8" s="13"/>
      <c r="B8" s="13"/>
      <c r="C8" s="13"/>
      <c r="D8" s="13"/>
      <c r="E8" s="13"/>
      <c r="F8" s="81" t="s">
        <v>207</v>
      </c>
      <c r="G8" s="85" t="s">
        <v>135</v>
      </c>
      <c r="H8" s="84"/>
      <c r="I8" s="13"/>
      <c r="J8" s="22" t="s">
        <v>136</v>
      </c>
      <c r="K8" s="27" t="str">
        <f>IF(OR($K$3="",$K$4=""),"",IF(ISNUMBER(MATCH($K$3&amp;"|"&amp;$K$4,_BankAccounts!$A$3:$A$100,0)),"","! bank code not linked to this entity"))</f>
        <v/>
      </c>
    </row>
    <row r="9" spans="1:11" ht="22" customHeight="1" x14ac:dyDescent="0.4">
      <c r="A9" s="13"/>
      <c r="B9" s="13"/>
      <c r="C9" s="13"/>
      <c r="D9" s="13"/>
      <c r="E9" s="13"/>
      <c r="F9" s="81" t="s">
        <v>137</v>
      </c>
      <c r="G9" s="87">
        <v>46228</v>
      </c>
      <c r="H9" s="86"/>
      <c r="I9" s="13"/>
      <c r="J9" s="13" t="s">
        <v>206</v>
      </c>
      <c r="K9" s="13" t="str">
        <f>IFERROR(INDEX(_BankAccounts!$E$3:$E$100,MATCH($K$3&amp;"|"&amp;$K$4,_BankAccounts!$A$3:$A$100,0)),"")</f>
        <v>MYR</v>
      </c>
    </row>
    <row r="10" spans="1:11" ht="17.5" thickBot="1" x14ac:dyDescent="0.4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22" customHeight="1" x14ac:dyDescent="0.4">
      <c r="A11" s="28" t="s">
        <v>138</v>
      </c>
      <c r="B11" s="29"/>
      <c r="C11" s="29"/>
      <c r="D11" s="29"/>
      <c r="E11" s="30" t="str">
        <f>$K$9</f>
        <v>MYR</v>
      </c>
      <c r="F11" s="29"/>
      <c r="G11" s="30" t="s">
        <v>139</v>
      </c>
      <c r="H11" s="31"/>
      <c r="I11" s="13"/>
      <c r="J11" s="13"/>
      <c r="K11" s="13"/>
    </row>
    <row r="12" spans="1:11" ht="19" customHeight="1" x14ac:dyDescent="0.4">
      <c r="A12" s="32" t="s">
        <v>140</v>
      </c>
      <c r="B12" s="33"/>
      <c r="C12" s="33"/>
      <c r="D12" s="33"/>
      <c r="E12" s="34">
        <v>2793</v>
      </c>
      <c r="F12" s="33"/>
      <c r="G12" s="35"/>
      <c r="H12" s="36"/>
      <c r="I12" s="13"/>
      <c r="J12" s="13"/>
      <c r="K12" s="13"/>
    </row>
    <row r="13" spans="1:11" ht="19" customHeight="1" x14ac:dyDescent="0.4">
      <c r="A13" s="32"/>
      <c r="B13" s="33"/>
      <c r="C13" s="33"/>
      <c r="D13" s="33"/>
      <c r="E13" s="34"/>
      <c r="F13" s="33"/>
      <c r="G13" s="35"/>
      <c r="H13" s="36"/>
      <c r="I13" s="13"/>
      <c r="J13" s="13"/>
      <c r="K13" s="13"/>
    </row>
    <row r="14" spans="1:11" ht="19" customHeight="1" x14ac:dyDescent="0.4">
      <c r="A14" s="32"/>
      <c r="B14" s="33"/>
      <c r="C14" s="33"/>
      <c r="D14" s="33"/>
      <c r="E14" s="34"/>
      <c r="F14" s="33"/>
      <c r="G14" s="35"/>
      <c r="H14" s="36"/>
      <c r="I14" s="13"/>
      <c r="J14" s="13"/>
      <c r="K14" s="13"/>
    </row>
    <row r="15" spans="1:11" ht="19" customHeight="1" x14ac:dyDescent="0.4">
      <c r="A15" s="32"/>
      <c r="B15" s="33"/>
      <c r="C15" s="33"/>
      <c r="D15" s="33"/>
      <c r="E15" s="34"/>
      <c r="F15" s="33"/>
      <c r="G15" s="35"/>
      <c r="H15" s="36"/>
      <c r="I15" s="13"/>
      <c r="J15" s="13"/>
      <c r="K15" s="13"/>
    </row>
    <row r="16" spans="1:11" ht="19" customHeight="1" x14ac:dyDescent="0.4">
      <c r="A16" s="32"/>
      <c r="B16" s="33"/>
      <c r="C16" s="33"/>
      <c r="D16" s="33"/>
      <c r="E16" s="34"/>
      <c r="F16" s="33"/>
      <c r="G16" s="35"/>
      <c r="H16" s="36"/>
      <c r="I16" s="13"/>
      <c r="J16" s="13"/>
      <c r="K16" s="13"/>
    </row>
    <row r="17" spans="1:11" ht="19" customHeight="1" x14ac:dyDescent="0.4">
      <c r="A17" s="32"/>
      <c r="B17" s="33"/>
      <c r="C17" s="33"/>
      <c r="D17" s="33"/>
      <c r="E17" s="34"/>
      <c r="F17" s="33"/>
      <c r="G17" s="35"/>
      <c r="H17" s="36"/>
      <c r="I17" s="13"/>
      <c r="J17" s="13"/>
      <c r="K17" s="13"/>
    </row>
    <row r="18" spans="1:11" ht="22" customHeight="1" thickBot="1" x14ac:dyDescent="0.45">
      <c r="A18" s="37" t="s">
        <v>141</v>
      </c>
      <c r="B18" s="38"/>
      <c r="C18" s="38"/>
      <c r="D18" s="38"/>
      <c r="E18" s="39">
        <f>SUM(E12:F17)</f>
        <v>2793</v>
      </c>
      <c r="F18" s="38"/>
      <c r="G18" s="38"/>
      <c r="H18" s="40"/>
      <c r="I18" s="13"/>
      <c r="J18" s="13"/>
      <c r="K18" s="13"/>
    </row>
    <row r="19" spans="1:11" ht="17.5" thickBot="1" x14ac:dyDescent="0.4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24" customHeight="1" thickBot="1" x14ac:dyDescent="0.45">
      <c r="A20" s="88" t="str">
        <f>IF($K$9="","",IFERROR(INDEX(_Currency!$B$3:$B$20,MATCH($K$9,_Currency!$A$3:$A$20,0)),$K$9)&amp;" :")</f>
        <v>Ringgit Malaysia :</v>
      </c>
      <c r="B20" s="89"/>
      <c r="C20" s="41"/>
      <c r="D20" s="42"/>
      <c r="E20" s="42"/>
      <c r="F20" s="42"/>
      <c r="G20" s="42"/>
      <c r="H20" s="43"/>
      <c r="I20" s="13"/>
      <c r="J20" s="13"/>
      <c r="K20" s="13"/>
    </row>
    <row r="21" spans="1:11" ht="17" x14ac:dyDescent="0.4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7" x14ac:dyDescent="0.4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36" customHeight="1" x14ac:dyDescent="0.4">
      <c r="A23" s="44" t="s">
        <v>143</v>
      </c>
      <c r="B23" s="45"/>
      <c r="C23" s="46"/>
      <c r="D23" s="13"/>
      <c r="E23" s="47" t="s">
        <v>208</v>
      </c>
      <c r="F23" s="48"/>
      <c r="G23" s="48"/>
      <c r="H23" s="48"/>
      <c r="I23" s="13"/>
      <c r="J23" s="13"/>
      <c r="K23" s="13"/>
    </row>
    <row r="24" spans="1:11" ht="17" x14ac:dyDescent="0.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36" customHeight="1" x14ac:dyDescent="0.4">
      <c r="A25" s="44" t="s">
        <v>209</v>
      </c>
      <c r="B25" s="45"/>
      <c r="C25" s="46"/>
      <c r="D25" s="13"/>
      <c r="E25" s="49" t="s">
        <v>208</v>
      </c>
      <c r="F25" s="50"/>
      <c r="G25" s="50"/>
      <c r="H25" s="50"/>
      <c r="I25" s="13"/>
      <c r="J25" s="13"/>
      <c r="K25" s="13"/>
    </row>
    <row r="26" spans="1:11" ht="17" x14ac:dyDescent="0.4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36" customHeight="1" x14ac:dyDescent="0.4">
      <c r="A27" s="44" t="s">
        <v>144</v>
      </c>
      <c r="B27" s="45"/>
      <c r="C27" s="46"/>
      <c r="D27" s="13"/>
      <c r="E27" s="49" t="s">
        <v>208</v>
      </c>
      <c r="F27" s="50"/>
      <c r="G27" s="50"/>
      <c r="H27" s="50"/>
      <c r="I27" s="13"/>
      <c r="J27" s="13"/>
      <c r="K27" s="13"/>
    </row>
    <row r="28" spans="1:11" ht="17" x14ac:dyDescent="0.4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7" x14ac:dyDescent="0.4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7" x14ac:dyDescent="0.4">
      <c r="A30" s="51"/>
      <c r="B30" s="18"/>
      <c r="C30" s="18"/>
      <c r="D30" s="18"/>
      <c r="E30" s="18"/>
      <c r="F30" s="18"/>
      <c r="G30" s="18"/>
      <c r="H30" s="18"/>
      <c r="I30" s="13"/>
      <c r="J30" s="13"/>
      <c r="K30" s="13"/>
    </row>
  </sheetData>
  <mergeCells count="43">
    <mergeCell ref="G8:H8"/>
    <mergeCell ref="G9:H9"/>
    <mergeCell ref="A30:H30"/>
    <mergeCell ref="B25:C25"/>
    <mergeCell ref="A16:D16"/>
    <mergeCell ref="A18:D18"/>
    <mergeCell ref="E16:F16"/>
    <mergeCell ref="G16:H16"/>
    <mergeCell ref="A20:B20"/>
    <mergeCell ref="C20:H20"/>
    <mergeCell ref="F25:H25"/>
    <mergeCell ref="F27:H27"/>
    <mergeCell ref="A1:H1"/>
    <mergeCell ref="B27:C27"/>
    <mergeCell ref="E17:F17"/>
    <mergeCell ref="G17:H17"/>
    <mergeCell ref="A13:D13"/>
    <mergeCell ref="F23:H23"/>
    <mergeCell ref="B23:C23"/>
    <mergeCell ref="A15:D15"/>
    <mergeCell ref="E13:F13"/>
    <mergeCell ref="A11:D11"/>
    <mergeCell ref="G13:H13"/>
    <mergeCell ref="G18:H18"/>
    <mergeCell ref="E12:F12"/>
    <mergeCell ref="A17:D17"/>
    <mergeCell ref="B7:D7"/>
    <mergeCell ref="J2:K2"/>
    <mergeCell ref="E18:F18"/>
    <mergeCell ref="A14:D14"/>
    <mergeCell ref="A3:H3"/>
    <mergeCell ref="E15:F15"/>
    <mergeCell ref="G15:H15"/>
    <mergeCell ref="A2:H2"/>
    <mergeCell ref="E11:F11"/>
    <mergeCell ref="G14:H14"/>
    <mergeCell ref="A4:H4"/>
    <mergeCell ref="A12:D12"/>
    <mergeCell ref="G11:H11"/>
    <mergeCell ref="E14:F14"/>
    <mergeCell ref="G12:H12"/>
    <mergeCell ref="A5:H5"/>
    <mergeCell ref="G7:H7"/>
  </mergeCells>
  <dataValidations count="2">
    <dataValidation type="list" sqref="K4" xr:uid="{00000000-0002-0000-0400-000001000000}">
      <formula1>"BOC,BOCOM,MBB,OCBC,TBC,UOB"</formula1>
    </dataValidation>
    <dataValidation type="list" allowBlank="1" showInputMessage="1" showErrorMessage="1" sqref="G8" xr:uid="{7B3847F5-DF2D-4DCE-9E94-D0E2696626CE}">
      <formula1>"IBG,Cheque,TT"</formula1>
    </dataValidation>
  </dataValidations>
  <pageMargins left="0.5" right="0.5" top="0.6" bottom="0.6" header="0.5" footer="0.5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_EntityData!$A$3:$A$13</xm:f>
          </x14:formula1>
          <xm:sqref>K3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0"/>
  <sheetViews>
    <sheetView showGridLines="0" workbookViewId="0">
      <selection activeCell="I21" sqref="I21"/>
    </sheetView>
  </sheetViews>
  <sheetFormatPr defaultRowHeight="14.5" x14ac:dyDescent="0.35"/>
  <cols>
    <col min="1" max="1" width="13" customWidth="1"/>
    <col min="2" max="2" width="22" customWidth="1"/>
    <col min="3" max="4" width="8" customWidth="1"/>
    <col min="5" max="5" width="13" customWidth="1"/>
    <col min="6" max="6" width="10" customWidth="1"/>
    <col min="7" max="7" width="12" customWidth="1"/>
    <col min="8" max="8" width="14" customWidth="1"/>
    <col min="10" max="10" width="18" customWidth="1"/>
    <col min="11" max="11" width="22" customWidth="1"/>
  </cols>
  <sheetData>
    <row r="1" spans="1:11" ht="26" customHeight="1" x14ac:dyDescent="0.4">
      <c r="A1" s="11" t="str">
        <f>IFERROR(INDEX(_EntityData!$B$3:$B$100,MATCH($K$3,_EntityData!$A$3:$A$100,0)),"")</f>
        <v>Ng Eng Kee &amp; Sons Sdn Bhd</v>
      </c>
      <c r="B1" s="12"/>
      <c r="C1" s="12"/>
      <c r="D1" s="12"/>
      <c r="E1" s="12"/>
      <c r="F1" s="12"/>
      <c r="G1" s="12"/>
      <c r="H1" s="12"/>
      <c r="I1" s="13"/>
      <c r="J1" s="14" t="s">
        <v>126</v>
      </c>
      <c r="K1" s="15"/>
    </row>
    <row r="2" spans="1:11" ht="19" customHeight="1" x14ac:dyDescent="0.4">
      <c r="A2" s="16" t="str">
        <f>IF($K$3="","",IFERROR(IF(INDEX(_EntityData!$C$3:$C$100,MATCH($K$3,_EntityData!$A$3:$A$100,0))="","","Co. Reg. No. "&amp;INDEX(_EntityData!$C$3:$C$100,MATCH($K$3,_EntityData!$A$3:$A$100,0))),""))</f>
        <v>Co. Reg. No. 198401003022 (115540-H)</v>
      </c>
      <c r="B2" s="12"/>
      <c r="C2" s="12"/>
      <c r="D2" s="12"/>
      <c r="E2" s="12"/>
      <c r="F2" s="12"/>
      <c r="G2" s="12"/>
      <c r="H2" s="12"/>
      <c r="I2" s="13"/>
      <c r="J2" s="17" t="s">
        <v>128</v>
      </c>
      <c r="K2" s="18"/>
    </row>
    <row r="3" spans="1:11" ht="19" customHeight="1" x14ac:dyDescent="0.4">
      <c r="A3" s="16" t="str">
        <f>IF($K$3="","",IFERROR("Tel: "&amp;INDEX(_EntityData!$F$3:$F$100,MATCH($K$3,_EntityData!$A$3:$A$100,0))&amp;"      Email: "&amp;INDEX(_EntityData!$G$3:$G$100,MATCH($K$3,_EntityData!$A$3:$A$100,0)),""))</f>
        <v>Tel: 012-4820853      Email: nekgroup84@gmail.com</v>
      </c>
      <c r="B3" s="12"/>
      <c r="C3" s="12"/>
      <c r="D3" s="12"/>
      <c r="E3" s="12"/>
      <c r="F3" s="12"/>
      <c r="G3" s="12"/>
      <c r="H3" s="12"/>
      <c r="I3" s="13"/>
      <c r="J3" s="10" t="s">
        <v>52</v>
      </c>
      <c r="K3" s="19" t="s">
        <v>59</v>
      </c>
    </row>
    <row r="4" spans="1:11" ht="36" customHeight="1" x14ac:dyDescent="0.4">
      <c r="A4" s="16" t="str">
        <f>IFERROR(INDEX(_EntityData!$D$3:$D$100,MATCH($K$3,_EntityData!$A$3:$A$100,0)),"")</f>
        <v>51-10-E, Menara BHL, Jalan Sultan Ahmad Shah, 10050 Georgetown, Penang, Malaysia</v>
      </c>
      <c r="B4" s="12"/>
      <c r="C4" s="12"/>
      <c r="D4" s="12"/>
      <c r="E4" s="12"/>
      <c r="F4" s="12"/>
      <c r="G4" s="12"/>
      <c r="H4" s="12"/>
      <c r="I4" s="13"/>
      <c r="J4" s="10" t="s">
        <v>98</v>
      </c>
      <c r="K4" s="19" t="s">
        <v>108</v>
      </c>
    </row>
    <row r="5" spans="1:11" ht="26" customHeight="1" thickBot="1" x14ac:dyDescent="0.45">
      <c r="A5" s="20" t="s">
        <v>148</v>
      </c>
      <c r="B5" s="21"/>
      <c r="C5" s="21"/>
      <c r="D5" s="21"/>
      <c r="E5" s="21"/>
      <c r="F5" s="21"/>
      <c r="G5" s="21"/>
      <c r="H5" s="21"/>
      <c r="I5" s="13"/>
      <c r="J5" s="10" t="s">
        <v>129</v>
      </c>
      <c r="K5" s="19">
        <v>14</v>
      </c>
    </row>
    <row r="6" spans="1:11" ht="26" x14ac:dyDescent="0.4">
      <c r="A6" s="13"/>
      <c r="B6" s="13"/>
      <c r="C6" s="13"/>
      <c r="D6" s="13"/>
      <c r="E6" s="13"/>
      <c r="F6" s="13"/>
      <c r="G6" s="13"/>
      <c r="H6" s="13"/>
      <c r="I6" s="13"/>
      <c r="J6" s="22" t="s">
        <v>130</v>
      </c>
      <c r="K6" s="23" t="str">
        <f>IFERROR(INDEX(_BankAccounts!$D$3:$D$100,MATCH($K$3&amp;"|"&amp;$K$4,_BankAccounts!$A$3:$A$100,0)),"")</f>
        <v>Malayan Banking Berhad (Maybank)</v>
      </c>
    </row>
    <row r="7" spans="1:11" ht="22" customHeight="1" x14ac:dyDescent="0.4">
      <c r="A7" s="24" t="s">
        <v>149</v>
      </c>
      <c r="B7" s="13"/>
      <c r="C7" s="13"/>
      <c r="D7" s="13"/>
      <c r="E7" s="13"/>
      <c r="F7" s="13"/>
      <c r="G7" s="25" t="s">
        <v>150</v>
      </c>
      <c r="H7" s="52" t="str">
        <f>K7</f>
        <v>INV/NEK/MBB/202607/014</v>
      </c>
      <c r="I7" s="13"/>
      <c r="J7" s="22" t="s">
        <v>134</v>
      </c>
      <c r="K7" s="26" t="str">
        <f>IF(OR($K$3="",$K$4="",$K$5="",H8=""),"","INV/"&amp;$K$3&amp;"/"&amp;$K$4&amp;"/"&amp;TEXT(H8,"yyyymm")&amp;"/"&amp;TEXT($K$5,"000"))</f>
        <v>INV/NEK/MBB/202607/014</v>
      </c>
    </row>
    <row r="8" spans="1:11" ht="22" customHeight="1" x14ac:dyDescent="0.4">
      <c r="A8" s="53" t="s">
        <v>132</v>
      </c>
      <c r="B8" s="18"/>
      <c r="C8" s="18"/>
      <c r="D8" s="18"/>
      <c r="E8" s="18"/>
      <c r="F8" s="13"/>
      <c r="G8" s="25" t="s">
        <v>137</v>
      </c>
      <c r="H8" s="54">
        <v>46204</v>
      </c>
      <c r="I8" s="13"/>
      <c r="J8" s="22" t="s">
        <v>136</v>
      </c>
      <c r="K8" s="27" t="str">
        <f>IF(OR($K$3="",$K$4=""),"",IF(ISNUMBER(MATCH($K$3&amp;"|"&amp;$K$4,_BankAccounts!$A$3:$A$100,0)),"","! bank code not linked to this entity"))</f>
        <v/>
      </c>
    </row>
    <row r="9" spans="1:11" ht="22" customHeight="1" x14ac:dyDescent="0.4">
      <c r="A9" s="55" t="s">
        <v>151</v>
      </c>
      <c r="B9" s="18"/>
      <c r="C9" s="18"/>
      <c r="D9" s="18"/>
      <c r="E9" s="18"/>
      <c r="F9" s="13"/>
      <c r="G9" s="13"/>
      <c r="H9" s="13"/>
      <c r="I9" s="13"/>
      <c r="J9" s="13" t="s">
        <v>206</v>
      </c>
      <c r="K9" s="13" t="str">
        <f>IFERROR(INDEX(_BankAccounts!$E$3:$E$100,MATCH($K$3&amp;"|"&amp;$K$4,_BankAccounts!$A$3:$A$100,0)),"")</f>
        <v>MYR</v>
      </c>
    </row>
    <row r="10" spans="1:11" ht="17" x14ac:dyDescent="0.4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22" customHeight="1" x14ac:dyDescent="0.4">
      <c r="A11" s="56" t="s">
        <v>152</v>
      </c>
      <c r="B11" s="57"/>
      <c r="C11" s="56" t="s">
        <v>153</v>
      </c>
      <c r="D11" s="57"/>
      <c r="E11" s="57"/>
      <c r="F11" s="57"/>
      <c r="G11" s="56" t="str">
        <f>IF($K$9="","AMOUNT","AMOUNT ("&amp;$K$9&amp;")")</f>
        <v>AMOUNT (MYR)</v>
      </c>
      <c r="H11" s="57"/>
      <c r="I11" s="13"/>
      <c r="J11" s="13"/>
      <c r="K11" s="13"/>
    </row>
    <row r="12" spans="1:11" ht="19" customHeight="1" x14ac:dyDescent="0.4">
      <c r="A12" s="58">
        <v>1</v>
      </c>
      <c r="B12" s="18"/>
      <c r="C12" s="53" t="s">
        <v>154</v>
      </c>
      <c r="D12" s="18"/>
      <c r="E12" s="18"/>
      <c r="F12" s="18"/>
      <c r="G12" s="59">
        <v>9000</v>
      </c>
      <c r="H12" s="18"/>
      <c r="I12" s="13"/>
      <c r="J12" s="13"/>
      <c r="K12" s="13"/>
    </row>
    <row r="13" spans="1:11" ht="19" customHeight="1" x14ac:dyDescent="0.4">
      <c r="A13" s="58"/>
      <c r="B13" s="18"/>
      <c r="C13" s="53"/>
      <c r="D13" s="18"/>
      <c r="E13" s="18"/>
      <c r="F13" s="18"/>
      <c r="G13" s="59"/>
      <c r="H13" s="18"/>
      <c r="I13" s="13"/>
      <c r="J13" s="13"/>
      <c r="K13" s="13"/>
    </row>
    <row r="14" spans="1:11" ht="19" customHeight="1" x14ac:dyDescent="0.4">
      <c r="A14" s="58"/>
      <c r="B14" s="18"/>
      <c r="C14" s="53"/>
      <c r="D14" s="18"/>
      <c r="E14" s="18"/>
      <c r="F14" s="18"/>
      <c r="G14" s="59"/>
      <c r="H14" s="18"/>
      <c r="I14" s="13"/>
      <c r="J14" s="13"/>
      <c r="K14" s="13"/>
    </row>
    <row r="15" spans="1:11" ht="19" customHeight="1" x14ac:dyDescent="0.4">
      <c r="A15" s="58"/>
      <c r="B15" s="18"/>
      <c r="C15" s="53"/>
      <c r="D15" s="18"/>
      <c r="E15" s="18"/>
      <c r="F15" s="18"/>
      <c r="G15" s="59"/>
      <c r="H15" s="18"/>
      <c r="I15" s="13"/>
      <c r="J15" s="13"/>
      <c r="K15" s="13"/>
    </row>
    <row r="16" spans="1:11" ht="19" customHeight="1" x14ac:dyDescent="0.4">
      <c r="A16" s="58"/>
      <c r="B16" s="18"/>
      <c r="C16" s="53"/>
      <c r="D16" s="18"/>
      <c r="E16" s="18"/>
      <c r="F16" s="18"/>
      <c r="G16" s="59"/>
      <c r="H16" s="18"/>
      <c r="I16" s="13"/>
      <c r="J16" s="13"/>
      <c r="K16" s="13"/>
    </row>
    <row r="17" spans="1:11" ht="19" customHeight="1" x14ac:dyDescent="0.4">
      <c r="A17" s="58"/>
      <c r="B17" s="18"/>
      <c r="C17" s="53"/>
      <c r="D17" s="18"/>
      <c r="E17" s="18"/>
      <c r="F17" s="18"/>
      <c r="G17" s="59"/>
      <c r="H17" s="18"/>
      <c r="I17" s="13"/>
      <c r="J17" s="13"/>
      <c r="K17" s="13"/>
    </row>
    <row r="18" spans="1:11" ht="22" customHeight="1" x14ac:dyDescent="0.4">
      <c r="A18" s="60" t="s">
        <v>155</v>
      </c>
      <c r="B18" s="18"/>
      <c r="C18" s="18"/>
      <c r="D18" s="18"/>
      <c r="E18" s="18"/>
      <c r="F18" s="18"/>
      <c r="G18" s="61">
        <f>SUM(G12:H17)</f>
        <v>9000</v>
      </c>
      <c r="H18" s="18"/>
      <c r="I18" s="13"/>
      <c r="J18" s="13"/>
      <c r="K18" s="13"/>
    </row>
    <row r="19" spans="1:11" ht="17" x14ac:dyDescent="0.4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24" customHeight="1" x14ac:dyDescent="0.4">
      <c r="A20" s="24" t="str">
        <f>IF($K$9="","",IFERROR(INDEX(_Currency!$B$3:$B$20,MATCH($K$9,_Currency!$A$3:$A$20,0)),$K$9)&amp;" :")</f>
        <v>Ringgit Malaysia :</v>
      </c>
      <c r="B20" s="62" t="s">
        <v>142</v>
      </c>
      <c r="C20" s="18"/>
      <c r="D20" s="18"/>
      <c r="E20" s="18"/>
      <c r="F20" s="18"/>
      <c r="G20" s="18"/>
      <c r="H20" s="18"/>
      <c r="I20" s="13"/>
      <c r="J20" s="13"/>
      <c r="K20" s="13"/>
    </row>
    <row r="21" spans="1:11" ht="17" x14ac:dyDescent="0.4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7" x14ac:dyDescent="0.4">
      <c r="A22" s="63" t="s">
        <v>156</v>
      </c>
      <c r="B22" s="18"/>
      <c r="C22" s="18"/>
      <c r="D22" s="18"/>
      <c r="E22" s="18"/>
      <c r="F22" s="18"/>
      <c r="G22" s="18"/>
      <c r="H22" s="18"/>
      <c r="I22" s="13"/>
      <c r="J22" s="13"/>
      <c r="K22" s="13"/>
    </row>
    <row r="23" spans="1:11" ht="36" customHeight="1" x14ac:dyDescent="0.4">
      <c r="A23" s="63" t="str">
        <f>IF($K$3="","","Bank : "&amp;IFERROR(INDEX(_BankAccounts!$D$3:$D$100,MATCH($K$3&amp;"|"&amp;$K$4,_BankAccounts!$A$3:$A$100,0)),""))</f>
        <v>Bank : Malayan Banking Berhad (Maybank)</v>
      </c>
      <c r="B23" s="18"/>
      <c r="C23" s="18"/>
      <c r="D23" s="18"/>
      <c r="E23" s="18"/>
      <c r="F23" s="18"/>
      <c r="G23" s="18"/>
      <c r="H23" s="18"/>
      <c r="I23" s="13"/>
      <c r="J23" s="13"/>
      <c r="K23" s="13"/>
    </row>
    <row r="24" spans="1:11" ht="17" x14ac:dyDescent="0.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36" customHeight="1" x14ac:dyDescent="0.4">
      <c r="A25" s="51" t="s">
        <v>157</v>
      </c>
      <c r="B25" s="18"/>
      <c r="C25" s="18"/>
      <c r="D25" s="18"/>
      <c r="E25" s="18"/>
      <c r="F25" s="18"/>
      <c r="G25" s="18"/>
      <c r="H25" s="18"/>
      <c r="I25" s="13"/>
      <c r="J25" s="13"/>
      <c r="K25" s="13"/>
    </row>
    <row r="26" spans="1:11" ht="17" x14ac:dyDescent="0.4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36" customHeight="1" x14ac:dyDescent="0.4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7" x14ac:dyDescent="0.4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7" x14ac:dyDescent="0.4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7" x14ac:dyDescent="0.4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</sheetData>
  <mergeCells count="35">
    <mergeCell ref="A1:H1"/>
    <mergeCell ref="B20:H20"/>
    <mergeCell ref="G17:H17"/>
    <mergeCell ref="C13:F13"/>
    <mergeCell ref="A16:B16"/>
    <mergeCell ref="A12:B12"/>
    <mergeCell ref="A3:H3"/>
    <mergeCell ref="A2:H2"/>
    <mergeCell ref="A8:E8"/>
    <mergeCell ref="A4:H4"/>
    <mergeCell ref="G12:H12"/>
    <mergeCell ref="C17:F17"/>
    <mergeCell ref="A15:B15"/>
    <mergeCell ref="A11:B11"/>
    <mergeCell ref="G11:H11"/>
    <mergeCell ref="A5:H5"/>
    <mergeCell ref="A25:H25"/>
    <mergeCell ref="C15:F15"/>
    <mergeCell ref="G13:H13"/>
    <mergeCell ref="G18:H18"/>
    <mergeCell ref="C14:F14"/>
    <mergeCell ref="G15:H15"/>
    <mergeCell ref="C16:F16"/>
    <mergeCell ref="A14:B14"/>
    <mergeCell ref="G14:H14"/>
    <mergeCell ref="A17:B17"/>
    <mergeCell ref="A23:H23"/>
    <mergeCell ref="A22:H22"/>
    <mergeCell ref="G16:H16"/>
    <mergeCell ref="A18:F18"/>
    <mergeCell ref="J2:K2"/>
    <mergeCell ref="C12:F12"/>
    <mergeCell ref="A13:B13"/>
    <mergeCell ref="C11:F11"/>
    <mergeCell ref="A9:E9"/>
  </mergeCells>
  <dataValidations count="1">
    <dataValidation type="list" sqref="K4" xr:uid="{00000000-0002-0000-0500-000001000000}">
      <formula1>"BOC,BOCOM,MBB,OCBC,TBC,UOB"</formula1>
    </dataValidation>
  </dataValidations>
  <pageMargins left="0.5" right="0.5" top="0.6" bottom="0.6" header="0.5" footer="0.5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_EntityData!$A$3:$A$13</xm:f>
          </x14:formula1>
          <xm:sqref>K3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0"/>
  <sheetViews>
    <sheetView showGridLines="0" workbookViewId="0"/>
  </sheetViews>
  <sheetFormatPr defaultRowHeight="14.5" x14ac:dyDescent="0.35"/>
  <cols>
    <col min="1" max="1" width="13" customWidth="1"/>
    <col min="2" max="2" width="22" customWidth="1"/>
    <col min="3" max="4" width="8" customWidth="1"/>
    <col min="5" max="5" width="13" customWidth="1"/>
    <col min="6" max="6" width="10" customWidth="1"/>
    <col min="7" max="7" width="12" customWidth="1"/>
    <col min="8" max="8" width="14" customWidth="1"/>
    <col min="10" max="10" width="18" customWidth="1"/>
    <col min="11" max="11" width="22" customWidth="1"/>
  </cols>
  <sheetData>
    <row r="1" spans="1:11" ht="26" customHeight="1" x14ac:dyDescent="0.4">
      <c r="A1" s="11" t="str">
        <f>IFERROR(INDEX(_EntityData!$B$3:$B$100,MATCH($K$3,_EntityData!$A$3:$A$100,0)),"")</f>
        <v>Ng Eng Kee &amp; Sons Sdn Bhd</v>
      </c>
      <c r="B1" s="12"/>
      <c r="C1" s="12"/>
      <c r="D1" s="12"/>
      <c r="E1" s="12"/>
      <c r="F1" s="12"/>
      <c r="G1" s="12"/>
      <c r="H1" s="12"/>
      <c r="I1" s="13"/>
      <c r="J1" s="14" t="s">
        <v>126</v>
      </c>
      <c r="K1" s="15"/>
    </row>
    <row r="2" spans="1:11" ht="19" customHeight="1" x14ac:dyDescent="0.4">
      <c r="A2" s="16" t="str">
        <f>IF($K$3="","",IFERROR(IF(INDEX(_EntityData!$C$3:$C$100,MATCH($K$3,_EntityData!$A$3:$A$100,0))="","","Co. Reg. No. "&amp;INDEX(_EntityData!$C$3:$C$100,MATCH($K$3,_EntityData!$A$3:$A$100,0))),""))</f>
        <v>Co. Reg. No. 198401003022 (115540-H)</v>
      </c>
      <c r="B2" s="12"/>
      <c r="C2" s="12"/>
      <c r="D2" s="12"/>
      <c r="E2" s="12"/>
      <c r="F2" s="12"/>
      <c r="G2" s="12"/>
      <c r="H2" s="12"/>
      <c r="I2" s="13"/>
      <c r="J2" s="17" t="s">
        <v>128</v>
      </c>
      <c r="K2" s="18"/>
    </row>
    <row r="3" spans="1:11" ht="19" customHeight="1" x14ac:dyDescent="0.4">
      <c r="A3" s="16" t="str">
        <f>IF($K$3="","",IFERROR("Tel: "&amp;INDEX(_EntityData!$F$3:$F$100,MATCH($K$3,_EntityData!$A$3:$A$100,0))&amp;"      Email: "&amp;INDEX(_EntityData!$G$3:$G$100,MATCH($K$3,_EntityData!$A$3:$A$100,0)),""))</f>
        <v>Tel: 012-4820853      Email: nekgroup84@gmail.com</v>
      </c>
      <c r="B3" s="12"/>
      <c r="C3" s="12"/>
      <c r="D3" s="12"/>
      <c r="E3" s="12"/>
      <c r="F3" s="12"/>
      <c r="G3" s="12"/>
      <c r="H3" s="12"/>
      <c r="I3" s="13"/>
      <c r="J3" s="10" t="s">
        <v>52</v>
      </c>
      <c r="K3" s="19" t="s">
        <v>59</v>
      </c>
    </row>
    <row r="4" spans="1:11" ht="36" customHeight="1" x14ac:dyDescent="0.4">
      <c r="A4" s="16" t="str">
        <f>IFERROR(INDEX(_EntityData!$D$3:$D$100,MATCH($K$3,_EntityData!$A$3:$A$100,0)),"")</f>
        <v>51-10-E, Menara BHL, Jalan Sultan Ahmad Shah, 10050 Georgetown, Penang, Malaysia</v>
      </c>
      <c r="B4" s="12"/>
      <c r="C4" s="12"/>
      <c r="D4" s="12"/>
      <c r="E4" s="12"/>
      <c r="F4" s="12"/>
      <c r="G4" s="12"/>
      <c r="H4" s="12"/>
      <c r="I4" s="13"/>
      <c r="J4" s="10" t="s">
        <v>98</v>
      </c>
      <c r="K4" s="19" t="s">
        <v>103</v>
      </c>
    </row>
    <row r="5" spans="1:11" ht="26" customHeight="1" thickBot="1" x14ac:dyDescent="0.45">
      <c r="A5" s="20" t="s">
        <v>158</v>
      </c>
      <c r="B5" s="21"/>
      <c r="C5" s="21"/>
      <c r="D5" s="21"/>
      <c r="E5" s="21"/>
      <c r="F5" s="21"/>
      <c r="G5" s="21"/>
      <c r="H5" s="21"/>
      <c r="I5" s="13"/>
      <c r="J5" s="10" t="s">
        <v>129</v>
      </c>
      <c r="K5" s="19">
        <v>14</v>
      </c>
    </row>
    <row r="6" spans="1:11" ht="26" x14ac:dyDescent="0.4">
      <c r="A6" s="13"/>
      <c r="B6" s="13"/>
      <c r="C6" s="13"/>
      <c r="D6" s="13"/>
      <c r="E6" s="13"/>
      <c r="F6" s="13"/>
      <c r="G6" s="13"/>
      <c r="H6" s="13"/>
      <c r="I6" s="13"/>
      <c r="J6" s="22" t="s">
        <v>130</v>
      </c>
      <c r="K6" s="23" t="str">
        <f>IFERROR(INDEX(_BankAccounts!$D$3:$D$100,MATCH($K$3&amp;"|"&amp;$K$4,_BankAccounts!$A$3:$A$100,0)),"")</f>
        <v>Bank of China (Malaysia) Berhad</v>
      </c>
    </row>
    <row r="7" spans="1:11" ht="22" customHeight="1" x14ac:dyDescent="0.4">
      <c r="A7" s="24" t="s">
        <v>159</v>
      </c>
      <c r="B7" s="13"/>
      <c r="C7" s="13"/>
      <c r="D7" s="13"/>
      <c r="E7" s="13"/>
      <c r="F7" s="13"/>
      <c r="G7" s="25" t="s">
        <v>160</v>
      </c>
      <c r="H7" s="52" t="str">
        <f>K7</f>
        <v>OR/NEK/BOC/202607/014</v>
      </c>
      <c r="I7" s="13"/>
      <c r="J7" s="22" t="s">
        <v>134</v>
      </c>
      <c r="K7" s="26" t="str">
        <f>IF(OR($K$3="",$K$4="",$K$5="",H8=""),"","OR/"&amp;$K$3&amp;"/"&amp;$K$4&amp;"/"&amp;TEXT(H8,"yyyymm")&amp;"/"&amp;TEXT($K$5,"000"))</f>
        <v>OR/NEK/BOC/202607/014</v>
      </c>
    </row>
    <row r="8" spans="1:11" ht="22" customHeight="1" x14ac:dyDescent="0.4">
      <c r="A8" s="53" t="s">
        <v>132</v>
      </c>
      <c r="B8" s="18"/>
      <c r="C8" s="18"/>
      <c r="D8" s="18"/>
      <c r="E8" s="18"/>
      <c r="F8" s="13"/>
      <c r="G8" s="25" t="s">
        <v>137</v>
      </c>
      <c r="H8" s="54">
        <v>46204</v>
      </c>
      <c r="I8" s="13"/>
      <c r="J8" s="22" t="s">
        <v>136</v>
      </c>
      <c r="K8" s="27" t="str">
        <f>IF(OR($K$3="",$K$4=""),"",IF(ISNUMBER(MATCH($K$3&amp;"|"&amp;$K$4,_BankAccounts!$A$3:$A$100,0)),"","! bank code not linked to this entity"))</f>
        <v/>
      </c>
    </row>
    <row r="9" spans="1:11" ht="22" customHeight="1" x14ac:dyDescent="0.4">
      <c r="A9" s="55" t="s">
        <v>151</v>
      </c>
      <c r="B9" s="18"/>
      <c r="C9" s="18"/>
      <c r="D9" s="18"/>
      <c r="E9" s="18"/>
      <c r="F9" s="13"/>
      <c r="G9" s="13"/>
      <c r="H9" s="13"/>
      <c r="I9" s="13"/>
      <c r="J9" s="13" t="s">
        <v>206</v>
      </c>
      <c r="K9" s="13" t="str">
        <f>IFERROR(INDEX(_BankAccounts!$E$3:$E$100,MATCH($K$3&amp;"|"&amp;$K$4,_BankAccounts!$A$3:$A$100,0)),"")</f>
        <v>MYR</v>
      </c>
    </row>
    <row r="10" spans="1:11" ht="17" x14ac:dyDescent="0.4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22" customHeight="1" x14ac:dyDescent="0.4">
      <c r="A11" s="56" t="s">
        <v>152</v>
      </c>
      <c r="B11" s="57"/>
      <c r="C11" s="56" t="s">
        <v>153</v>
      </c>
      <c r="D11" s="57"/>
      <c r="E11" s="57"/>
      <c r="F11" s="57"/>
      <c r="G11" s="56" t="str">
        <f>IF($K$9="","AMOUNT","AMOUNT ("&amp;$K$9&amp;")")</f>
        <v>AMOUNT (MYR)</v>
      </c>
      <c r="H11" s="57"/>
      <c r="I11" s="13"/>
      <c r="J11" s="13"/>
      <c r="K11" s="13"/>
    </row>
    <row r="12" spans="1:11" ht="19" customHeight="1" x14ac:dyDescent="0.4">
      <c r="A12" s="58">
        <v>1</v>
      </c>
      <c r="B12" s="18"/>
      <c r="C12" s="53" t="s">
        <v>154</v>
      </c>
      <c r="D12" s="18"/>
      <c r="E12" s="18"/>
      <c r="F12" s="18"/>
      <c r="G12" s="59">
        <v>9000</v>
      </c>
      <c r="H12" s="18"/>
      <c r="I12" s="13"/>
      <c r="J12" s="13"/>
      <c r="K12" s="13"/>
    </row>
    <row r="13" spans="1:11" ht="19" customHeight="1" x14ac:dyDescent="0.4">
      <c r="A13" s="58"/>
      <c r="B13" s="18"/>
      <c r="C13" s="53"/>
      <c r="D13" s="18"/>
      <c r="E13" s="18"/>
      <c r="F13" s="18"/>
      <c r="G13" s="59"/>
      <c r="H13" s="18"/>
      <c r="I13" s="13"/>
      <c r="J13" s="13"/>
      <c r="K13" s="13"/>
    </row>
    <row r="14" spans="1:11" ht="19" customHeight="1" x14ac:dyDescent="0.4">
      <c r="A14" s="58"/>
      <c r="B14" s="18"/>
      <c r="C14" s="53"/>
      <c r="D14" s="18"/>
      <c r="E14" s="18"/>
      <c r="F14" s="18"/>
      <c r="G14" s="59"/>
      <c r="H14" s="18"/>
      <c r="I14" s="13"/>
      <c r="J14" s="13"/>
      <c r="K14" s="13"/>
    </row>
    <row r="15" spans="1:11" ht="19" customHeight="1" x14ac:dyDescent="0.4">
      <c r="A15" s="58"/>
      <c r="B15" s="18"/>
      <c r="C15" s="53"/>
      <c r="D15" s="18"/>
      <c r="E15" s="18"/>
      <c r="F15" s="18"/>
      <c r="G15" s="59"/>
      <c r="H15" s="18"/>
      <c r="I15" s="13"/>
      <c r="J15" s="13"/>
      <c r="K15" s="13"/>
    </row>
    <row r="16" spans="1:11" ht="19" customHeight="1" x14ac:dyDescent="0.4">
      <c r="A16" s="58"/>
      <c r="B16" s="18"/>
      <c r="C16" s="53"/>
      <c r="D16" s="18"/>
      <c r="E16" s="18"/>
      <c r="F16" s="18"/>
      <c r="G16" s="59"/>
      <c r="H16" s="18"/>
      <c r="I16" s="13"/>
      <c r="J16" s="13"/>
      <c r="K16" s="13"/>
    </row>
    <row r="17" spans="1:11" ht="19" customHeight="1" x14ac:dyDescent="0.4">
      <c r="A17" s="58"/>
      <c r="B17" s="18"/>
      <c r="C17" s="53"/>
      <c r="D17" s="18"/>
      <c r="E17" s="18"/>
      <c r="F17" s="18"/>
      <c r="G17" s="59"/>
      <c r="H17" s="18"/>
      <c r="I17" s="13"/>
      <c r="J17" s="13"/>
      <c r="K17" s="13"/>
    </row>
    <row r="18" spans="1:11" ht="22" customHeight="1" x14ac:dyDescent="0.4">
      <c r="A18" s="60" t="s">
        <v>155</v>
      </c>
      <c r="B18" s="18"/>
      <c r="C18" s="18"/>
      <c r="D18" s="18"/>
      <c r="E18" s="18"/>
      <c r="F18" s="18"/>
      <c r="G18" s="61">
        <f>SUM(G12:H17)</f>
        <v>9000</v>
      </c>
      <c r="H18" s="18"/>
      <c r="I18" s="13"/>
      <c r="J18" s="13"/>
      <c r="K18" s="13"/>
    </row>
    <row r="19" spans="1:11" ht="17" x14ac:dyDescent="0.4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24" customHeight="1" x14ac:dyDescent="0.4">
      <c r="A20" s="24" t="str">
        <f>IF($K$9="","",IFERROR(INDEX(_Currency!$B$3:$B$20,MATCH($K$9,_Currency!$A$3:$A$20,0)),$K$9)&amp;" :")</f>
        <v>Ringgit Malaysia :</v>
      </c>
      <c r="B20" s="62" t="s">
        <v>142</v>
      </c>
      <c r="C20" s="18"/>
      <c r="D20" s="18"/>
      <c r="E20" s="18"/>
      <c r="F20" s="18"/>
      <c r="G20" s="18"/>
      <c r="H20" s="18"/>
      <c r="I20" s="13"/>
      <c r="J20" s="13"/>
      <c r="K20" s="13"/>
    </row>
    <row r="21" spans="1:11" ht="17" x14ac:dyDescent="0.4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7" x14ac:dyDescent="0.4">
      <c r="A22" s="24" t="s">
        <v>161</v>
      </c>
      <c r="B22" s="13"/>
      <c r="C22" s="64" t="s">
        <v>162</v>
      </c>
      <c r="D22" s="18"/>
      <c r="E22" s="18"/>
      <c r="F22" s="18"/>
      <c r="G22" s="13"/>
      <c r="H22" s="13"/>
      <c r="I22" s="13"/>
      <c r="J22" s="13"/>
      <c r="K22" s="13"/>
    </row>
    <row r="23" spans="1:11" ht="36" customHeight="1" x14ac:dyDescent="0.4">
      <c r="A23" s="24" t="s">
        <v>163</v>
      </c>
      <c r="B23" s="13"/>
      <c r="C23" s="65" t="str">
        <f>IFERROR(INDEX(_BankAccounts!$D$3:$D$100,MATCH($K$3&amp;"|"&amp;$K$4,_BankAccounts!$A$3:$A$100,0)),"")</f>
        <v>Bank of China (Malaysia) Berhad</v>
      </c>
      <c r="D23" s="18"/>
      <c r="E23" s="18"/>
      <c r="F23" s="18"/>
      <c r="G23" s="13"/>
      <c r="H23" s="13"/>
      <c r="I23" s="13"/>
      <c r="J23" s="13"/>
      <c r="K23" s="13"/>
    </row>
    <row r="24" spans="1:11" ht="17" x14ac:dyDescent="0.4">
      <c r="A24" s="24" t="s">
        <v>164</v>
      </c>
      <c r="B24" s="13"/>
      <c r="C24" s="64" t="s">
        <v>165</v>
      </c>
      <c r="D24" s="18"/>
      <c r="E24" s="18"/>
      <c r="F24" s="18"/>
      <c r="G24" s="13"/>
      <c r="H24" s="13"/>
      <c r="I24" s="13"/>
      <c r="J24" s="13"/>
      <c r="K24" s="13"/>
    </row>
    <row r="25" spans="1:11" ht="36" customHeight="1" x14ac:dyDescent="0.4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7" x14ac:dyDescent="0.4">
      <c r="A26" s="66" t="s">
        <v>166</v>
      </c>
      <c r="B26" s="18"/>
      <c r="C26" s="18"/>
      <c r="D26" s="18"/>
      <c r="E26" s="18"/>
      <c r="F26" s="18"/>
      <c r="G26" s="18"/>
      <c r="H26" s="18"/>
      <c r="I26" s="13"/>
      <c r="J26" s="13"/>
      <c r="K26" s="13"/>
    </row>
    <row r="27" spans="1:11" ht="36" customHeight="1" x14ac:dyDescent="0.4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7" x14ac:dyDescent="0.4">
      <c r="A28" s="51" t="s">
        <v>157</v>
      </c>
      <c r="B28" s="18"/>
      <c r="C28" s="18"/>
      <c r="D28" s="18"/>
      <c r="E28" s="18"/>
      <c r="F28" s="18"/>
      <c r="G28" s="18"/>
      <c r="H28" s="18"/>
      <c r="I28" s="13"/>
      <c r="J28" s="13"/>
      <c r="K28" s="13"/>
    </row>
    <row r="29" spans="1:11" ht="17" x14ac:dyDescent="0.4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7" x14ac:dyDescent="0.4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</sheetData>
  <mergeCells count="37">
    <mergeCell ref="A3:H3"/>
    <mergeCell ref="A1:H1"/>
    <mergeCell ref="B20:H20"/>
    <mergeCell ref="G17:H17"/>
    <mergeCell ref="C13:F13"/>
    <mergeCell ref="A16:B16"/>
    <mergeCell ref="C15:F15"/>
    <mergeCell ref="G13:H13"/>
    <mergeCell ref="G12:H12"/>
    <mergeCell ref="C17:F17"/>
    <mergeCell ref="A15:B15"/>
    <mergeCell ref="A11:B11"/>
    <mergeCell ref="G11:H11"/>
    <mergeCell ref="A18:F18"/>
    <mergeCell ref="G16:H16"/>
    <mergeCell ref="A5:H5"/>
    <mergeCell ref="C24:F24"/>
    <mergeCell ref="G18:H18"/>
    <mergeCell ref="C14:F14"/>
    <mergeCell ref="A12:B12"/>
    <mergeCell ref="C23:F23"/>
    <mergeCell ref="J2:K2"/>
    <mergeCell ref="C12:F12"/>
    <mergeCell ref="A28:H28"/>
    <mergeCell ref="A13:B13"/>
    <mergeCell ref="C11:F11"/>
    <mergeCell ref="A9:E9"/>
    <mergeCell ref="A26:H26"/>
    <mergeCell ref="G15:H15"/>
    <mergeCell ref="A2:H2"/>
    <mergeCell ref="C16:F16"/>
    <mergeCell ref="A14:B14"/>
    <mergeCell ref="G14:H14"/>
    <mergeCell ref="A8:E8"/>
    <mergeCell ref="A17:B17"/>
    <mergeCell ref="C22:F22"/>
    <mergeCell ref="A4:H4"/>
  </mergeCells>
  <dataValidations count="1">
    <dataValidation type="list" sqref="K4" xr:uid="{00000000-0002-0000-0600-000001000000}">
      <formula1>"BOC,BOCOM,MBB,OCBC,TBC,UOB"</formula1>
    </dataValidation>
  </dataValidations>
  <pageMargins left="0.5" right="0.5" top="0.6" bottom="0.6" header="0.5" footer="0.5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_EntityData!$A$3:$A$13</xm:f>
          </x14:formula1>
          <xm:sqref>K3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30"/>
  <sheetViews>
    <sheetView showGridLines="0" workbookViewId="0"/>
  </sheetViews>
  <sheetFormatPr defaultRowHeight="14.5" x14ac:dyDescent="0.35"/>
  <cols>
    <col min="1" max="1" width="26" customWidth="1"/>
    <col min="2" max="2" width="6" customWidth="1"/>
    <col min="3" max="3" width="12" customWidth="1"/>
    <col min="4" max="4" width="3" customWidth="1"/>
    <col min="5" max="5" width="26" customWidth="1"/>
    <col min="6" max="6" width="6" customWidth="1"/>
    <col min="7" max="7" width="12" customWidth="1"/>
    <col min="10" max="10" width="18" customWidth="1"/>
    <col min="11" max="11" width="22" customWidth="1"/>
  </cols>
  <sheetData>
    <row r="1" spans="1:11" ht="26" customHeight="1" x14ac:dyDescent="0.4">
      <c r="A1" s="11" t="str">
        <f>IFERROR(INDEX(_EntityData!$B$3:$B$100,MATCH($K$3,_EntityData!$A$3:$A$100,0)),"")</f>
        <v>Ng Eng Kee &amp; Sons Sdn Bhd</v>
      </c>
      <c r="B1" s="12"/>
      <c r="C1" s="12"/>
      <c r="D1" s="12"/>
      <c r="E1" s="12"/>
      <c r="F1" s="12"/>
      <c r="G1" s="12"/>
      <c r="H1" s="13"/>
      <c r="I1" s="13"/>
      <c r="J1" s="14" t="s">
        <v>126</v>
      </c>
      <c r="K1" s="15"/>
    </row>
    <row r="2" spans="1:11" ht="19" customHeight="1" x14ac:dyDescent="0.4">
      <c r="A2" s="16" t="str">
        <f>IF($K$3="","",IFERROR(IF(INDEX(_EntityData!$C$3:$C$100,MATCH($K$3,_EntityData!$A$3:$A$100,0))="","","Co. Reg. No. "&amp;INDEX(_EntityData!$C$3:$C$100,MATCH($K$3,_EntityData!$A$3:$A$100,0))),""))</f>
        <v>Co. Reg. No. 198401003022 (115540-H)</v>
      </c>
      <c r="B2" s="12"/>
      <c r="C2" s="12"/>
      <c r="D2" s="12"/>
      <c r="E2" s="12"/>
      <c r="F2" s="12"/>
      <c r="G2" s="12"/>
      <c r="H2" s="13"/>
      <c r="I2" s="13"/>
      <c r="J2" s="17" t="s">
        <v>128</v>
      </c>
      <c r="K2" s="18"/>
    </row>
    <row r="3" spans="1:11" ht="19" customHeight="1" x14ac:dyDescent="0.4">
      <c r="A3" s="16" t="str">
        <f>IF($K$3="","",IFERROR("Tel: "&amp;INDEX(_EntityData!$F$3:$F$100,MATCH($K$3,_EntityData!$A$3:$A$100,0))&amp;"      Email: "&amp;INDEX(_EntityData!$G$3:$G$100,MATCH($K$3,_EntityData!$A$3:$A$100,0)),""))</f>
        <v>Tel: 012-4820853      Email: nekgroup84@gmail.com</v>
      </c>
      <c r="B3" s="12"/>
      <c r="C3" s="12"/>
      <c r="D3" s="12"/>
      <c r="E3" s="12"/>
      <c r="F3" s="12"/>
      <c r="G3" s="12"/>
      <c r="H3" s="13"/>
      <c r="I3" s="13"/>
      <c r="J3" s="10" t="s">
        <v>52</v>
      </c>
      <c r="K3" s="19" t="s">
        <v>59</v>
      </c>
    </row>
    <row r="4" spans="1:11" ht="36" customHeight="1" x14ac:dyDescent="0.4">
      <c r="A4" s="16" t="str">
        <f>IFERROR(INDEX(_EntityData!$D$3:$D$100,MATCH($K$3,_EntityData!$A$3:$A$100,0)),"")</f>
        <v>51-10-E, Menara BHL, Jalan Sultan Ahmad Shah, 10050 Georgetown, Penang, Malaysia</v>
      </c>
      <c r="B4" s="12"/>
      <c r="C4" s="12"/>
      <c r="D4" s="12"/>
      <c r="E4" s="12"/>
      <c r="F4" s="12"/>
      <c r="G4" s="12"/>
      <c r="H4" s="13"/>
      <c r="I4" s="13"/>
      <c r="J4" s="10" t="s">
        <v>98</v>
      </c>
      <c r="K4" s="19" t="s">
        <v>103</v>
      </c>
    </row>
    <row r="5" spans="1:11" ht="26" customHeight="1" thickBot="1" x14ac:dyDescent="0.45">
      <c r="A5" s="67" t="s">
        <v>167</v>
      </c>
      <c r="B5" s="68"/>
      <c r="C5" s="68"/>
      <c r="D5" s="68"/>
      <c r="E5" s="68"/>
      <c r="F5" s="68"/>
      <c r="G5" s="68"/>
      <c r="H5" s="68"/>
      <c r="I5" s="13"/>
      <c r="J5" s="10" t="s">
        <v>129</v>
      </c>
      <c r="K5" s="19">
        <v>14</v>
      </c>
    </row>
    <row r="6" spans="1:11" ht="26" x14ac:dyDescent="0.4">
      <c r="A6" s="13"/>
      <c r="B6" s="13"/>
      <c r="C6" s="13"/>
      <c r="D6" s="13"/>
      <c r="E6" s="13"/>
      <c r="F6" s="13"/>
      <c r="G6" s="13"/>
      <c r="H6" s="13"/>
      <c r="I6" s="13"/>
      <c r="J6" s="22" t="s">
        <v>130</v>
      </c>
      <c r="K6" s="23" t="str">
        <f>IFERROR(INDEX(_BankAccounts!$D$3:$D$100,MATCH($K$3&amp;"|"&amp;$K$4,_BankAccounts!$A$3:$A$100,0)),"")</f>
        <v>Bank of China (Malaysia) Berhad</v>
      </c>
    </row>
    <row r="7" spans="1:11" ht="22" customHeight="1" x14ac:dyDescent="0.4">
      <c r="A7" s="24" t="s">
        <v>168</v>
      </c>
      <c r="B7" s="64" t="s">
        <v>169</v>
      </c>
      <c r="C7" s="18"/>
      <c r="D7" s="13"/>
      <c r="E7" s="24" t="s">
        <v>170</v>
      </c>
      <c r="F7" s="64" t="s">
        <v>171</v>
      </c>
      <c r="G7" s="18"/>
      <c r="H7" s="13"/>
      <c r="I7" s="13"/>
      <c r="J7" s="22" t="s">
        <v>134</v>
      </c>
      <c r="K7" s="26" t="str">
        <f>IF(OR($K$3="",$K$4="",$K$5="",$K$9=""),"","SAL/"&amp;$K$3&amp;"/"&amp;$K$4&amp;"/"&amp;TEXT($K$9,"yyyymm")&amp;"/"&amp;TEXT($K$5,"000"))</f>
        <v>SAL/NEK/BOC/202607/014</v>
      </c>
    </row>
    <row r="8" spans="1:11" ht="22" customHeight="1" x14ac:dyDescent="0.4">
      <c r="A8" s="24" t="s">
        <v>172</v>
      </c>
      <c r="B8" s="64" t="s">
        <v>173</v>
      </c>
      <c r="C8" s="18"/>
      <c r="D8" s="13"/>
      <c r="E8" s="24" t="s">
        <v>174</v>
      </c>
      <c r="F8" s="58" t="s">
        <v>63</v>
      </c>
      <c r="G8" s="18"/>
      <c r="H8" s="13"/>
      <c r="I8" s="13"/>
      <c r="J8" s="22" t="s">
        <v>136</v>
      </c>
      <c r="K8" s="27" t="str">
        <f>IF(OR($K$3="",$K$4=""),"",IF(ISNUMBER(MATCH($K$3&amp;"|"&amp;$K$4,_BankAccounts!$A$3:$A$100,0)),"","! bank code not linked to this entity"))</f>
        <v/>
      </c>
    </row>
    <row r="9" spans="1:11" ht="22" customHeight="1" x14ac:dyDescent="0.4">
      <c r="A9" s="13"/>
      <c r="B9" s="13"/>
      <c r="C9" s="13"/>
      <c r="D9" s="13"/>
      <c r="E9" s="10" t="s">
        <v>175</v>
      </c>
      <c r="F9" s="69" t="str">
        <f>K7</f>
        <v>SAL/NEK/BOC/202607/014</v>
      </c>
      <c r="G9" s="18"/>
      <c r="H9" s="13"/>
      <c r="I9" s="13"/>
      <c r="J9" s="10" t="s">
        <v>176</v>
      </c>
      <c r="K9" s="70">
        <v>46228</v>
      </c>
    </row>
    <row r="10" spans="1:11" ht="17" x14ac:dyDescent="0.4">
      <c r="A10" s="71" t="s">
        <v>177</v>
      </c>
      <c r="B10" s="18"/>
      <c r="C10" s="18"/>
      <c r="D10" s="13"/>
      <c r="E10" s="71" t="s">
        <v>178</v>
      </c>
      <c r="F10" s="18"/>
      <c r="G10" s="18"/>
      <c r="H10" s="13"/>
      <c r="I10" s="13"/>
      <c r="J10" s="13"/>
      <c r="K10" s="13"/>
    </row>
    <row r="11" spans="1:11" ht="22" customHeight="1" x14ac:dyDescent="0.4">
      <c r="A11" s="72" t="s">
        <v>179</v>
      </c>
      <c r="B11" s="72" t="s">
        <v>63</v>
      </c>
      <c r="C11" s="73">
        <v>6500</v>
      </c>
      <c r="D11" s="13"/>
      <c r="E11" s="72" t="s">
        <v>180</v>
      </c>
      <c r="F11" s="72" t="s">
        <v>63</v>
      </c>
      <c r="G11" s="73">
        <v>816</v>
      </c>
      <c r="H11" s="13"/>
      <c r="I11" s="13"/>
      <c r="J11" s="13"/>
      <c r="K11" s="13"/>
    </row>
    <row r="12" spans="1:11" ht="19" customHeight="1" x14ac:dyDescent="0.4">
      <c r="A12" s="72" t="s">
        <v>181</v>
      </c>
      <c r="B12" s="72" t="s">
        <v>63</v>
      </c>
      <c r="C12" s="73">
        <v>300</v>
      </c>
      <c r="D12" s="13"/>
      <c r="E12" s="72" t="s">
        <v>182</v>
      </c>
      <c r="F12" s="72" t="s">
        <v>63</v>
      </c>
      <c r="G12" s="73">
        <v>104.15</v>
      </c>
      <c r="H12" s="13"/>
      <c r="I12" s="13"/>
      <c r="J12" s="13"/>
      <c r="K12" s="13"/>
    </row>
    <row r="13" spans="1:11" ht="19" customHeight="1" x14ac:dyDescent="0.4">
      <c r="A13" s="13"/>
      <c r="B13" s="13"/>
      <c r="C13" s="13"/>
      <c r="D13" s="13"/>
      <c r="E13" s="72" t="s">
        <v>183</v>
      </c>
      <c r="F13" s="72" t="s">
        <v>63</v>
      </c>
      <c r="G13" s="73">
        <v>11.9</v>
      </c>
      <c r="H13" s="13"/>
      <c r="I13" s="13"/>
      <c r="J13" s="13"/>
      <c r="K13" s="13"/>
    </row>
    <row r="14" spans="1:11" ht="19" customHeight="1" x14ac:dyDescent="0.4">
      <c r="A14" s="24" t="s">
        <v>184</v>
      </c>
      <c r="B14" s="24" t="s">
        <v>63</v>
      </c>
      <c r="C14" s="74">
        <f>C11+C12</f>
        <v>6800</v>
      </c>
      <c r="D14" s="13"/>
      <c r="E14" s="24" t="s">
        <v>185</v>
      </c>
      <c r="F14" s="24" t="s">
        <v>63</v>
      </c>
      <c r="G14" s="74">
        <f>SUM(G11:G13)</f>
        <v>932.05</v>
      </c>
      <c r="H14" s="13"/>
      <c r="I14" s="13"/>
      <c r="J14" s="13"/>
      <c r="K14" s="13"/>
    </row>
    <row r="15" spans="1:11" ht="19" customHeight="1" x14ac:dyDescent="0.4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9" customHeight="1" x14ac:dyDescent="0.4">
      <c r="A16" s="71" t="s">
        <v>186</v>
      </c>
      <c r="B16" s="18"/>
      <c r="C16" s="18"/>
      <c r="D16" s="13"/>
      <c r="E16" s="13"/>
      <c r="F16" s="13"/>
      <c r="G16" s="13"/>
      <c r="H16" s="13"/>
      <c r="I16" s="13"/>
      <c r="J16" s="13"/>
      <c r="K16" s="13"/>
    </row>
    <row r="17" spans="1:11" ht="19" customHeight="1" x14ac:dyDescent="0.4">
      <c r="A17" s="72" t="s">
        <v>187</v>
      </c>
      <c r="B17" s="72" t="s">
        <v>63</v>
      </c>
      <c r="C17" s="73">
        <v>748</v>
      </c>
      <c r="D17" s="13"/>
      <c r="E17" s="13"/>
      <c r="F17" s="13"/>
      <c r="G17" s="13"/>
      <c r="H17" s="13"/>
      <c r="I17" s="13"/>
      <c r="J17" s="13"/>
      <c r="K17" s="13"/>
    </row>
    <row r="18" spans="1:11" ht="22" customHeight="1" x14ac:dyDescent="0.4">
      <c r="A18" s="72" t="s">
        <v>188</v>
      </c>
      <c r="B18" s="72" t="s">
        <v>63</v>
      </c>
      <c r="C18" s="73">
        <v>29.75</v>
      </c>
      <c r="D18" s="13"/>
      <c r="E18" s="13"/>
      <c r="F18" s="13"/>
      <c r="G18" s="13"/>
      <c r="H18" s="13"/>
      <c r="I18" s="13"/>
      <c r="J18" s="13"/>
      <c r="K18" s="13"/>
    </row>
    <row r="19" spans="1:11" ht="17" x14ac:dyDescent="0.4">
      <c r="A19" s="72" t="s">
        <v>189</v>
      </c>
      <c r="B19" s="72" t="s">
        <v>63</v>
      </c>
      <c r="C19" s="73">
        <v>11.9</v>
      </c>
      <c r="D19" s="13"/>
      <c r="E19" s="13"/>
      <c r="F19" s="13"/>
      <c r="G19" s="13"/>
      <c r="H19" s="13"/>
      <c r="I19" s="13"/>
      <c r="J19" s="13"/>
      <c r="K19" s="13"/>
    </row>
    <row r="20" spans="1:11" ht="24" customHeight="1" x14ac:dyDescent="0.4">
      <c r="A20" s="72" t="s">
        <v>190</v>
      </c>
      <c r="B20" s="72" t="s">
        <v>63</v>
      </c>
      <c r="C20" s="73">
        <v>44.65</v>
      </c>
      <c r="D20" s="13"/>
      <c r="E20" s="13"/>
      <c r="F20" s="13"/>
      <c r="G20" s="13"/>
      <c r="H20" s="13"/>
      <c r="I20" s="13"/>
      <c r="J20" s="13"/>
      <c r="K20" s="13"/>
    </row>
    <row r="21" spans="1:11" ht="17" x14ac:dyDescent="0.4">
      <c r="A21" s="72" t="s">
        <v>191</v>
      </c>
      <c r="B21" s="72" t="s">
        <v>63</v>
      </c>
      <c r="C21" s="73">
        <v>295.5</v>
      </c>
      <c r="D21" s="13"/>
      <c r="E21" s="13"/>
      <c r="F21" s="13"/>
      <c r="G21" s="13"/>
      <c r="H21" s="13"/>
      <c r="I21" s="13"/>
      <c r="J21" s="13"/>
      <c r="K21" s="13"/>
    </row>
    <row r="22" spans="1:11" ht="17" x14ac:dyDescent="0.4">
      <c r="A22" s="24" t="s">
        <v>192</v>
      </c>
      <c r="B22" s="24" t="s">
        <v>63</v>
      </c>
      <c r="C22" s="74">
        <f>SUM(C17:C21)</f>
        <v>1129.8</v>
      </c>
      <c r="D22" s="13"/>
      <c r="E22" s="13"/>
      <c r="F22" s="13"/>
      <c r="G22" s="13"/>
      <c r="H22" s="13"/>
      <c r="I22" s="13"/>
      <c r="J22" s="13"/>
      <c r="K22" s="13"/>
    </row>
    <row r="23" spans="1:11" ht="36" customHeight="1" x14ac:dyDescent="0.4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7" x14ac:dyDescent="0.4">
      <c r="A24" s="71" t="s">
        <v>193</v>
      </c>
      <c r="B24" s="18"/>
      <c r="C24" s="18"/>
      <c r="D24" s="13"/>
      <c r="E24" s="13"/>
      <c r="F24" s="13"/>
      <c r="G24" s="13"/>
      <c r="H24" s="13"/>
      <c r="I24" s="13"/>
      <c r="J24" s="13"/>
      <c r="K24" s="13"/>
    </row>
    <row r="25" spans="1:11" ht="36" customHeight="1" x14ac:dyDescent="0.4">
      <c r="A25" s="72" t="s">
        <v>184</v>
      </c>
      <c r="B25" s="13" t="s">
        <v>63</v>
      </c>
      <c r="C25" s="75">
        <f>C14</f>
        <v>6800</v>
      </c>
      <c r="D25" s="13"/>
      <c r="E25" s="13"/>
      <c r="F25" s="13"/>
      <c r="G25" s="13"/>
      <c r="H25" s="13"/>
      <c r="I25" s="13"/>
      <c r="J25" s="13"/>
      <c r="K25" s="13"/>
    </row>
    <row r="26" spans="1:11" ht="17" x14ac:dyDescent="0.4">
      <c r="A26" s="72" t="s">
        <v>194</v>
      </c>
      <c r="B26" s="13" t="s">
        <v>63</v>
      </c>
      <c r="C26" s="75">
        <f>C22</f>
        <v>1129.8</v>
      </c>
      <c r="D26" s="13"/>
      <c r="E26" s="13"/>
      <c r="F26" s="13"/>
      <c r="G26" s="13"/>
      <c r="H26" s="13"/>
      <c r="I26" s="13"/>
      <c r="J26" s="13"/>
      <c r="K26" s="13"/>
    </row>
    <row r="27" spans="1:11" ht="36" customHeight="1" x14ac:dyDescent="0.4">
      <c r="A27" s="76" t="s">
        <v>195</v>
      </c>
      <c r="B27" s="76" t="s">
        <v>63</v>
      </c>
      <c r="C27" s="77">
        <f>C25-C26</f>
        <v>5670.2</v>
      </c>
      <c r="D27" s="13"/>
      <c r="E27" s="13"/>
      <c r="F27" s="13"/>
      <c r="G27" s="13"/>
      <c r="H27" s="13"/>
      <c r="I27" s="13"/>
      <c r="J27" s="13"/>
      <c r="K27" s="13"/>
    </row>
    <row r="28" spans="1:11" ht="17" x14ac:dyDescent="0.4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7" x14ac:dyDescent="0.4">
      <c r="A29" s="51" t="s">
        <v>196</v>
      </c>
      <c r="B29" s="18"/>
      <c r="C29" s="18"/>
      <c r="D29" s="18"/>
      <c r="E29" s="18"/>
      <c r="F29" s="18"/>
      <c r="G29" s="18"/>
      <c r="H29" s="13"/>
      <c r="I29" s="13"/>
      <c r="J29" s="13"/>
      <c r="K29" s="13"/>
    </row>
    <row r="30" spans="1:11" ht="17" x14ac:dyDescent="0.4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</sheetData>
  <mergeCells count="16">
    <mergeCell ref="A1:G1"/>
    <mergeCell ref="B7:C7"/>
    <mergeCell ref="F9:G9"/>
    <mergeCell ref="A3:G3"/>
    <mergeCell ref="J2:K2"/>
    <mergeCell ref="A4:G4"/>
    <mergeCell ref="A2:G2"/>
    <mergeCell ref="A5:H5"/>
    <mergeCell ref="A29:G29"/>
    <mergeCell ref="B8:C8"/>
    <mergeCell ref="A24:C24"/>
    <mergeCell ref="A16:C16"/>
    <mergeCell ref="F7:G7"/>
    <mergeCell ref="F8:G8"/>
    <mergeCell ref="A10:C10"/>
    <mergeCell ref="E10:G10"/>
  </mergeCells>
  <dataValidations count="1">
    <dataValidation type="list" sqref="K4" xr:uid="{00000000-0002-0000-0700-000001000000}">
      <formula1>"BOC,BOCOM,MBB,OCBC,TBC,UOB"</formula1>
    </dataValidation>
  </dataValidations>
  <pageMargins left="0.5" right="0.5" top="0.6" bottom="0.6" header="0.5" footer="0.5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_EntityData!$A$3:$A$13</xm:f>
          </x14:formula1>
          <xm:sqref>K3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00 House Style</vt:lpstr>
      <vt:lpstr>_EntityData</vt:lpstr>
      <vt:lpstr>_BankAccounts</vt:lpstr>
      <vt:lpstr>Payment Voucher</vt:lpstr>
      <vt:lpstr>Receiving Voucher</vt:lpstr>
      <vt:lpstr>Invoice</vt:lpstr>
      <vt:lpstr>Official Receipt</vt:lpstr>
      <vt:lpstr>Salary Slip</vt:lpstr>
      <vt:lpstr>Invoice!Print_Area</vt:lpstr>
      <vt:lpstr>'Official Receipt'!Print_Area</vt:lpstr>
      <vt:lpstr>'Payment Voucher'!Print_Area</vt:lpstr>
      <vt:lpstr>'Receiving Voucher'!Print_Area</vt:lpstr>
      <vt:lpstr>'Salary Slip'!Print_Area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ng</cp:lastModifiedBy>
  <dcterms:created xsi:type="dcterms:W3CDTF">2026-07-22T09:18:20Z</dcterms:created>
  <dcterms:modified xsi:type="dcterms:W3CDTF">2026-08-04T07:14:38Z</dcterms:modified>
</cp:coreProperties>
</file>